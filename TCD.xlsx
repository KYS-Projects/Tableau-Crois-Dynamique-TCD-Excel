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311074-D3CA-40CE-B949-E1236FB1B21C}" xr6:coauthVersionLast="47" xr6:coauthVersionMax="47" xr10:uidLastSave="{00000000-0000-0000-0000-000000000000}"/>
  <bookViews>
    <workbookView xWindow="-110" yWindow="-110" windowWidth="19420" windowHeight="11020" activeTab="8" xr2:uid="{00000000-000D-0000-FFFF-FFFF00000000}"/>
  </bookViews>
  <sheets>
    <sheet name="enoncé" sheetId="1" r:id="rId1"/>
    <sheet name="Liste" sheetId="2" r:id="rId2"/>
    <sheet name="exo1" sheetId="3" r:id="rId3"/>
    <sheet name="exo2" sheetId="4" r:id="rId4"/>
    <sheet name="exo3" sheetId="5" r:id="rId5"/>
    <sheet name="exo4" sheetId="6" r:id="rId6"/>
    <sheet name="exo5" sheetId="7" r:id="rId7"/>
    <sheet name="exo6" sheetId="8" r:id="rId8"/>
    <sheet name="exo7" sheetId="9" r:id="rId9"/>
    <sheet name="exo8" sheetId="10" r:id="rId10"/>
  </sheets>
  <definedNames>
    <definedName name="_xlnm._FilterDatabase" localSheetId="1" hidden="1">Liste!$A$1:$K$285</definedName>
  </definedNames>
  <calcPr calcId="191029"/>
  <pivotCaches>
    <pivotCache cacheId="11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K2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color rgb="FF000000"/>
            <rFont val="Calibri"/>
            <family val="2"/>
            <scheme val="minor"/>
          </rPr>
          <t>toutes ces données sont FICTIVES - si certaines personnes se retrouvent dans cette liste, ce sera un pur fruit du hasard!</t>
        </r>
      </text>
    </comment>
  </commentList>
</comments>
</file>

<file path=xl/sharedStrings.xml><?xml version="1.0" encoding="utf-8"?>
<sst xmlns="http://schemas.openxmlformats.org/spreadsheetml/2006/main" count="1529" uniqueCount="489">
  <si>
    <t>Tableaux croisés dynamiques</t>
  </si>
  <si>
    <t>Code</t>
  </si>
  <si>
    <t>NOM</t>
  </si>
  <si>
    <t>PRENOM</t>
  </si>
  <si>
    <t>TELEPHONE</t>
  </si>
  <si>
    <t>SERVICE</t>
  </si>
  <si>
    <t>SITE</t>
  </si>
  <si>
    <t>SALAIRE</t>
  </si>
  <si>
    <t>sexe</t>
  </si>
  <si>
    <t>date de naisssance</t>
  </si>
  <si>
    <t>AGE</t>
  </si>
  <si>
    <t>tranche</t>
  </si>
  <si>
    <t>ABELLO</t>
  </si>
  <si>
    <t>Myriam</t>
  </si>
  <si>
    <t>TECH</t>
  </si>
  <si>
    <t>Paris</t>
  </si>
  <si>
    <t>femme</t>
  </si>
  <si>
    <t>ABSCHEN</t>
  </si>
  <si>
    <t>Paul</t>
  </si>
  <si>
    <t>COM</t>
  </si>
  <si>
    <t>homme</t>
  </si>
  <si>
    <t>ADAMO</t>
  </si>
  <si>
    <t>Stéphane</t>
  </si>
  <si>
    <t>RECH</t>
  </si>
  <si>
    <t>AGAPOF</t>
  </si>
  <si>
    <t>Brigitte</t>
  </si>
  <si>
    <t>Lille</t>
  </si>
  <si>
    <t>ALBERT</t>
  </si>
  <si>
    <t>Marie-France</t>
  </si>
  <si>
    <t>Nice</t>
  </si>
  <si>
    <t>ALEMBERT</t>
  </si>
  <si>
    <t>Jean</t>
  </si>
  <si>
    <t>AMANDIER</t>
  </si>
  <si>
    <t>Jean-Marc</t>
  </si>
  <si>
    <t>AMARA</t>
  </si>
  <si>
    <t>Nicolas</t>
  </si>
  <si>
    <t>AMELLAL</t>
  </si>
  <si>
    <t>Viviane</t>
  </si>
  <si>
    <t>Strasbourg</t>
  </si>
  <si>
    <t>ANGONIN</t>
  </si>
  <si>
    <t>Jean-Pierre</t>
  </si>
  <si>
    <t>AZRIA</t>
  </si>
  <si>
    <t>Maryse</t>
  </si>
  <si>
    <t>FIN</t>
  </si>
  <si>
    <t>BACH</t>
  </si>
  <si>
    <t>Ginette</t>
  </si>
  <si>
    <t>BAH</t>
  </si>
  <si>
    <t>Paule</t>
  </si>
  <si>
    <t>BARNAUD</t>
  </si>
  <si>
    <t>Janine</t>
  </si>
  <si>
    <t>DIR</t>
  </si>
  <si>
    <t>BARRACHINA</t>
  </si>
  <si>
    <t>Monique</t>
  </si>
  <si>
    <t>BARRANDON</t>
  </si>
  <si>
    <t>Margaret</t>
  </si>
  <si>
    <t>BASS</t>
  </si>
  <si>
    <t>Thierry</t>
  </si>
  <si>
    <t>BAUDET</t>
  </si>
  <si>
    <t>Michele</t>
  </si>
  <si>
    <t>Arlette</t>
  </si>
  <si>
    <t>BEAUDEAU</t>
  </si>
  <si>
    <t>Gérard</t>
  </si>
  <si>
    <t>BEAUMIER</t>
  </si>
  <si>
    <t>Isabelle</t>
  </si>
  <si>
    <t>BEDO</t>
  </si>
  <si>
    <t>BEETHOVEN</t>
  </si>
  <si>
    <t>BENHAMOU</t>
  </si>
  <si>
    <t>Jeanine</t>
  </si>
  <si>
    <t>BENSIMON</t>
  </si>
  <si>
    <t>Elisabeth</t>
  </si>
  <si>
    <t>BÉRAUD</t>
  </si>
  <si>
    <t>Giséle</t>
  </si>
  <si>
    <t>BERDUGO</t>
  </si>
  <si>
    <t>Bernadette</t>
  </si>
  <si>
    <t>BERNIER</t>
  </si>
  <si>
    <t>Henri</t>
  </si>
  <si>
    <t>BERTOLO</t>
  </si>
  <si>
    <t>Claudie</t>
  </si>
  <si>
    <t>BERTRAND</t>
  </si>
  <si>
    <t>Roger</t>
  </si>
  <si>
    <t>BIDAULT</t>
  </si>
  <si>
    <t>Marie-Reine</t>
  </si>
  <si>
    <t>BINET</t>
  </si>
  <si>
    <t>Jacques</t>
  </si>
  <si>
    <t>BLANC</t>
  </si>
  <si>
    <t>BLANCHOT</t>
  </si>
  <si>
    <t>Guy</t>
  </si>
  <si>
    <t>BOLLO</t>
  </si>
  <si>
    <t>René</t>
  </si>
  <si>
    <t>BONNAY</t>
  </si>
  <si>
    <t>Nadège</t>
  </si>
  <si>
    <t>BOUCHET</t>
  </si>
  <si>
    <t>Micheline</t>
  </si>
  <si>
    <t>BOUDART</t>
  </si>
  <si>
    <t>Martine</t>
  </si>
  <si>
    <t>BOULLICAUD</t>
  </si>
  <si>
    <t>Jean-Paul</t>
  </si>
  <si>
    <t>BOUN</t>
  </si>
  <si>
    <t>BOUSLAH</t>
  </si>
  <si>
    <t>Fabien</t>
  </si>
  <si>
    <t>BOUZCKAR</t>
  </si>
  <si>
    <t>Ghislaine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</si>
  <si>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</si>
  <si>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</si>
  <si>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</si>
  <si>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</si>
  <si>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</si>
  <si>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</si>
  <si>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</si>
  <si>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</si>
  <si>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</si>
  <si>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CAILLOT</t>
  </si>
  <si>
    <t>Jocelyne</t>
  </si>
  <si>
    <t>CALVET</t>
  </si>
  <si>
    <t>Christine</t>
  </si>
  <si>
    <t>CAPRON</t>
  </si>
  <si>
    <t>Claude</t>
  </si>
  <si>
    <t>CARRERA</t>
  </si>
  <si>
    <t>Victor</t>
  </si>
  <si>
    <t>CHAMBLAS</t>
  </si>
  <si>
    <t>CHARDON</t>
  </si>
  <si>
    <t>Annick</t>
  </si>
  <si>
    <t>CHAUBEAU</t>
  </si>
  <si>
    <t>Louis</t>
  </si>
  <si>
    <t>CHAVES</t>
  </si>
  <si>
    <t>CHEHMAT</t>
  </si>
  <si>
    <t>CHHUOR</t>
  </si>
  <si>
    <t>Anne-Marie</t>
  </si>
  <si>
    <t>CHI</t>
  </si>
  <si>
    <t>Nicole</t>
  </si>
  <si>
    <t>CHICHE</t>
  </si>
  <si>
    <t>Vincent</t>
  </si>
  <si>
    <t>CHIFFLET</t>
  </si>
  <si>
    <t>Ingrid</t>
  </si>
  <si>
    <t>CHRISTOPHE</t>
  </si>
  <si>
    <t>CLAVERIE</t>
  </si>
  <si>
    <t>Chantal</t>
  </si>
  <si>
    <t>COHEN</t>
  </si>
  <si>
    <t>Christian</t>
  </si>
  <si>
    <t>COMTE</t>
  </si>
  <si>
    <t>Martin</t>
  </si>
  <si>
    <t>CORBET</t>
  </si>
  <si>
    <t>Marie-Thérése</t>
  </si>
  <si>
    <t>COUDERC</t>
  </si>
  <si>
    <t>Marie-Louise</t>
  </si>
  <si>
    <t>COUGET</t>
  </si>
  <si>
    <t>Denis</t>
  </si>
  <si>
    <t>CRIÉ</t>
  </si>
  <si>
    <t>Michel</t>
  </si>
  <si>
    <t>CROMBEZ</t>
  </si>
  <si>
    <t>Katherine</t>
  </si>
  <si>
    <t>CUCIT</t>
  </si>
  <si>
    <t>CYMBALIST</t>
  </si>
  <si>
    <t>DAMBSKI</t>
  </si>
  <si>
    <t>DANIEL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</si>
  <si>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</si>
  <si>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</si>
  <si>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</si>
  <si>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</si>
  <si>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</si>
  <si>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</si>
  <si>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</si>
  <si>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</si>
  <si>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</si>
  <si>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DELAMARRE</t>
  </si>
  <si>
    <t>Jean-Luc</t>
  </si>
  <si>
    <t>DELUC</t>
  </si>
  <si>
    <t>Pascal</t>
  </si>
  <si>
    <t>DENIS</t>
  </si>
  <si>
    <t>Claudine</t>
  </si>
  <si>
    <t>DESHAYES</t>
  </si>
  <si>
    <t>DESROSES</t>
  </si>
  <si>
    <t>DESTAIN</t>
  </si>
  <si>
    <t>Roseline</t>
  </si>
  <si>
    <t>D'HÉROUVILLE</t>
  </si>
  <si>
    <t>Yolande</t>
  </si>
  <si>
    <t>DI</t>
  </si>
  <si>
    <t>DINIC</t>
  </si>
  <si>
    <t>Jean-François</t>
  </si>
  <si>
    <t>DONG</t>
  </si>
  <si>
    <t>Huguette</t>
  </si>
  <si>
    <t>DOUCOURE</t>
  </si>
  <si>
    <t>Jean-Jacques</t>
  </si>
  <si>
    <t>DUPRÉ</t>
  </si>
  <si>
    <t>Sophie</t>
  </si>
  <si>
    <t>DURAND</t>
  </si>
  <si>
    <t>DURAND-RENIER</t>
  </si>
  <si>
    <t>DUROC</t>
  </si>
  <si>
    <t>Annie</t>
  </si>
  <si>
    <t>EL KAABI</t>
  </si>
  <si>
    <t>FABRE</t>
  </si>
  <si>
    <t>Didier</t>
  </si>
  <si>
    <t>FALZON</t>
  </si>
  <si>
    <t>Patricia</t>
  </si>
  <si>
    <t>FARIDI</t>
  </si>
  <si>
    <t>FAUCHEUX</t>
  </si>
  <si>
    <t>FAUQUIER</t>
  </si>
  <si>
    <t>Mireille</t>
  </si>
  <si>
    <t>FAURE</t>
  </si>
  <si>
    <t>Simone</t>
  </si>
  <si>
    <t>FAVRE</t>
  </si>
  <si>
    <t>Dany</t>
  </si>
  <si>
    <t>FEDON</t>
  </si>
  <si>
    <t>Marie-Claude</t>
  </si>
  <si>
    <t>FERNANDEZ</t>
  </si>
  <si>
    <t>Yvette</t>
  </si>
  <si>
    <t>Suzanne</t>
  </si>
  <si>
    <t>FERRAND</t>
  </si>
  <si>
    <t>Danielle</t>
  </si>
  <si>
    <t>FILLEAU</t>
  </si>
  <si>
    <t>Sylvie</t>
  </si>
  <si>
    <t>FITOUSSI</t>
  </si>
  <si>
    <t>Samuel</t>
  </si>
  <si>
    <t>FOURNOL</t>
  </si>
  <si>
    <t>FRANÇOIS</t>
  </si>
  <si>
    <t>FRENOIS</t>
  </si>
  <si>
    <t>FRETTE</t>
  </si>
  <si>
    <t>Daniel</t>
  </si>
  <si>
    <t>FRISA</t>
  </si>
  <si>
    <t>GARCIA</t>
  </si>
  <si>
    <t>Ghyslaine</t>
  </si>
  <si>
    <t>GEIL</t>
  </si>
  <si>
    <t>Dominique</t>
  </si>
  <si>
    <t>GENTIL</t>
  </si>
  <si>
    <t>Michelle</t>
  </si>
  <si>
    <t>GEORGET</t>
  </si>
  <si>
    <t>Philippe</t>
  </si>
  <si>
    <t>GHAFFAR</t>
  </si>
  <si>
    <t>GHIBAUDO</t>
  </si>
  <si>
    <t>GILLINGHAM</t>
  </si>
  <si>
    <t>Magdeleine</t>
  </si>
  <si>
    <t>GIRARD</t>
  </si>
  <si>
    <t>André</t>
  </si>
  <si>
    <t>GIRAUDO</t>
  </si>
  <si>
    <t>GIRON</t>
  </si>
  <si>
    <t>GLYNATSIS</t>
  </si>
  <si>
    <t>Hervé</t>
  </si>
  <si>
    <t>GONDOUIN</t>
  </si>
  <si>
    <t>Bernard</t>
  </si>
  <si>
    <t>GORZINSKY</t>
  </si>
  <si>
    <t>Odette</t>
  </si>
  <si>
    <t>GOUILLON</t>
  </si>
  <si>
    <t>GOYER</t>
  </si>
  <si>
    <t>GRAIN</t>
  </si>
  <si>
    <t>GUELT</t>
  </si>
  <si>
    <t>GUILLE</t>
  </si>
  <si>
    <t>GUILLET</t>
  </si>
  <si>
    <t>GUITTON</t>
  </si>
  <si>
    <t>Francis</t>
  </si>
  <si>
    <t>GUTFREUND</t>
  </si>
  <si>
    <t>GUYOT</t>
  </si>
  <si>
    <t>Pierre</t>
  </si>
  <si>
    <t>GUYS</t>
  </si>
  <si>
    <t>Emmanuel</t>
  </si>
  <si>
    <t>HABRANT</t>
  </si>
  <si>
    <t>Moïse</t>
  </si>
  <si>
    <t>HARAULT</t>
  </si>
  <si>
    <t>Armelle</t>
  </si>
  <si>
    <t>HERCLICH</t>
  </si>
  <si>
    <t>HERMANT</t>
  </si>
  <si>
    <t>HERSELIN</t>
  </si>
  <si>
    <t>HEURAUX</t>
  </si>
  <si>
    <t>Catherine</t>
  </si>
  <si>
    <t>HUBERT</t>
  </si>
  <si>
    <t>HUSETOWSKI</t>
  </si>
  <si>
    <t>Franca</t>
  </si>
  <si>
    <t>ILARDO</t>
  </si>
  <si>
    <t>IMMEUBLE</t>
  </si>
  <si>
    <t>JOLIBOIS</t>
  </si>
  <si>
    <t>JOLY</t>
  </si>
  <si>
    <t>JUDITH</t>
  </si>
  <si>
    <t>Marie-Hélène</t>
  </si>
  <si>
    <t>KAC</t>
  </si>
  <si>
    <t>KARSENTY</t>
  </si>
  <si>
    <t>KILBURG</t>
  </si>
  <si>
    <t>KONGOLO</t>
  </si>
  <si>
    <t>KRIEF</t>
  </si>
  <si>
    <t>KTORZA</t>
  </si>
  <si>
    <t>Juliette</t>
  </si>
  <si>
    <t>LACHAUSSÉE</t>
  </si>
  <si>
    <t>LACIRE</t>
  </si>
  <si>
    <t>LADD</t>
  </si>
  <si>
    <t>LAIGUILLON</t>
  </si>
  <si>
    <t>LAM</t>
  </si>
  <si>
    <t>Pierrette</t>
  </si>
  <si>
    <t>LAMBERT</t>
  </si>
  <si>
    <t>LANLO</t>
  </si>
  <si>
    <t>LAUB</t>
  </si>
  <si>
    <t>LE BARBANCHON</t>
  </si>
  <si>
    <t>LE HYARIC</t>
  </si>
  <si>
    <t>LE LOCH</t>
  </si>
  <si>
    <t>LE PREVOST</t>
  </si>
  <si>
    <t>LEBAS</t>
  </si>
  <si>
    <t>Eliane</t>
  </si>
  <si>
    <t>LEBRETON</t>
  </si>
  <si>
    <t>Olivier</t>
  </si>
  <si>
    <t>LEDOUX</t>
  </si>
  <si>
    <t>Madeleine</t>
  </si>
  <si>
    <t>LEE</t>
  </si>
  <si>
    <t>LEFORT</t>
  </si>
  <si>
    <t>LEGRAND</t>
  </si>
  <si>
    <t>LEKA</t>
  </si>
  <si>
    <t>LEMAIRE</t>
  </si>
  <si>
    <t>LEMARIÉ</t>
  </si>
  <si>
    <t>LÉVY</t>
  </si>
  <si>
    <t>Denise</t>
  </si>
  <si>
    <t>LOBJOY</t>
  </si>
  <si>
    <t>Patrick</t>
  </si>
  <si>
    <t>LOUAPRE</t>
  </si>
  <si>
    <t>Louisette</t>
  </si>
  <si>
    <t>LY</t>
  </si>
  <si>
    <t>Jean-Claude</t>
  </si>
  <si>
    <t>MARECHAL</t>
  </si>
  <si>
    <t>MARINIER</t>
  </si>
  <si>
    <t>Marcel</t>
  </si>
  <si>
    <t>Christiane</t>
  </si>
  <si>
    <t>MARQUEZ</t>
  </si>
  <si>
    <t>Marie-Cecile</t>
  </si>
  <si>
    <t>MARTAUD</t>
  </si>
  <si>
    <t>MARTEL</t>
  </si>
  <si>
    <t>MARTI</t>
  </si>
  <si>
    <t>Anne</t>
  </si>
  <si>
    <t>MARTIN</t>
  </si>
  <si>
    <t>Laurent</t>
  </si>
  <si>
    <t>France</t>
  </si>
  <si>
    <t>Franz</t>
  </si>
  <si>
    <t>Jacqueline</t>
  </si>
  <si>
    <t>MECHARD</t>
  </si>
  <si>
    <t>Véronique</t>
  </si>
  <si>
    <t>MERCIER</t>
  </si>
  <si>
    <t>Evelyne</t>
  </si>
  <si>
    <t>MERLAUD</t>
  </si>
  <si>
    <t>MESROBIAN</t>
  </si>
  <si>
    <t>Joël</t>
  </si>
  <si>
    <t>MIANET</t>
  </si>
  <si>
    <t>Georges</t>
  </si>
  <si>
    <t>MICELI</t>
  </si>
  <si>
    <t>MILLET</t>
  </si>
  <si>
    <t>Pasquale</t>
  </si>
  <si>
    <t>MOINARD</t>
  </si>
  <si>
    <t>Loïc</t>
  </si>
  <si>
    <t>MOITA</t>
  </si>
  <si>
    <t>Jeanne-Marie</t>
  </si>
  <si>
    <t>MONTFORT</t>
  </si>
  <si>
    <t>Huong</t>
  </si>
  <si>
    <t>NAIMI</t>
  </si>
  <si>
    <t>NICOLLE</t>
  </si>
  <si>
    <t>OBEL</t>
  </si>
  <si>
    <t>Rolande</t>
  </si>
  <si>
    <t>OCLOO</t>
  </si>
  <si>
    <t>Thérése</t>
  </si>
  <si>
    <t>ONG</t>
  </si>
  <si>
    <t>PARINET</t>
  </si>
  <si>
    <t>Jean-Louis</t>
  </si>
  <si>
    <t>PARTOUCHE</t>
  </si>
  <si>
    <t>Robert</t>
  </si>
  <si>
    <t>PAVARD</t>
  </si>
  <si>
    <t>PEDRO</t>
  </si>
  <si>
    <t>PENALVA</t>
  </si>
  <si>
    <t>PERFETTO</t>
  </si>
  <si>
    <t>PERRUCHON</t>
  </si>
  <si>
    <t>Fabrice</t>
  </si>
  <si>
    <t>PESNOT</t>
  </si>
  <si>
    <t>PIDERIT</t>
  </si>
  <si>
    <t>POINSOT</t>
  </si>
  <si>
    <t>POISSON</t>
  </si>
  <si>
    <t>PONTALIER</t>
  </si>
  <si>
    <t>POTRIQUET</t>
  </si>
  <si>
    <t>Claudette</t>
  </si>
  <si>
    <t>POUYADOU</t>
  </si>
  <si>
    <t>Josette</t>
  </si>
  <si>
    <t>PUAULT</t>
  </si>
  <si>
    <t>QUINTIN</t>
  </si>
  <si>
    <t>RAGEUL</t>
  </si>
  <si>
    <t>Marielle</t>
  </si>
  <si>
    <t>RAMBEAUD</t>
  </si>
  <si>
    <t>RAMOND</t>
  </si>
  <si>
    <t>RAMOS</t>
  </si>
  <si>
    <t>Yvan</t>
  </si>
  <si>
    <t>REBY-FAYARD</t>
  </si>
  <si>
    <t>Luc</t>
  </si>
  <si>
    <t>REMUND</t>
  </si>
  <si>
    <t>Marie-Marthe</t>
  </si>
  <si>
    <t>RENIER</t>
  </si>
  <si>
    <t>REVERDITO</t>
  </si>
  <si>
    <t>Marie-Jeanne</t>
  </si>
  <si>
    <t>RIDEAU</t>
  </si>
  <si>
    <t>RIEGERT</t>
  </si>
  <si>
    <t>Raymonde</t>
  </si>
  <si>
    <t>RIESI</t>
  </si>
  <si>
    <t>François</t>
  </si>
  <si>
    <t>ROBERT</t>
  </si>
  <si>
    <t>Marie-Josée</t>
  </si>
  <si>
    <t>RODIER</t>
  </si>
  <si>
    <t>Régis</t>
  </si>
  <si>
    <t>ROGUET</t>
  </si>
  <si>
    <t>ROLLAIS-LARROUSSE</t>
  </si>
  <si>
    <t>Colette</t>
  </si>
  <si>
    <t>ROLLAND</t>
  </si>
  <si>
    <t>Nathalie</t>
  </si>
  <si>
    <t>ROSAR</t>
  </si>
  <si>
    <t>Georgette</t>
  </si>
  <si>
    <t>ROSSO</t>
  </si>
  <si>
    <t>ROTENBERG</t>
  </si>
  <si>
    <t>ROULET</t>
  </si>
  <si>
    <t>SAADA</t>
  </si>
  <si>
    <t>SACCHET</t>
  </si>
  <si>
    <t>SAILLANT</t>
  </si>
  <si>
    <t>SAPIENCE</t>
  </si>
  <si>
    <t>Alain</t>
  </si>
  <si>
    <t>SARFATI</t>
  </si>
  <si>
    <t>SAYAVONG</t>
  </si>
  <si>
    <t>Henriette</t>
  </si>
  <si>
    <t>SCHUSTER</t>
  </si>
  <si>
    <t>SCOTTI</t>
  </si>
  <si>
    <t>SENG</t>
  </si>
  <si>
    <t>Cécile</t>
  </si>
  <si>
    <t>SENILLE</t>
  </si>
  <si>
    <t>Marthe</t>
  </si>
  <si>
    <t>SENTEX</t>
  </si>
  <si>
    <t>SINSEAU</t>
  </si>
  <si>
    <t>SOK</t>
  </si>
  <si>
    <t>SONG</t>
  </si>
  <si>
    <t>Aline</t>
  </si>
  <si>
    <t>STOEFFLER</t>
  </si>
  <si>
    <t>SUON</t>
  </si>
  <si>
    <t>William</t>
  </si>
  <si>
    <t>SURENA</t>
  </si>
  <si>
    <t>Adrienne</t>
  </si>
  <si>
    <t>TAIEB</t>
  </si>
  <si>
    <t>TAMBURRINI</t>
  </si>
  <si>
    <t>Marie-Claire</t>
  </si>
  <si>
    <t>TAN</t>
  </si>
  <si>
    <t>Joelle</t>
  </si>
  <si>
    <t>TANG</t>
  </si>
  <si>
    <t>TARDIF</t>
  </si>
  <si>
    <t>Marie-Paule</t>
  </si>
  <si>
    <t>THAO</t>
  </si>
  <si>
    <t>Sylvain</t>
  </si>
  <si>
    <t>THIAM</t>
  </si>
  <si>
    <t>THOQUENNE</t>
  </si>
  <si>
    <t>Lydia</t>
  </si>
  <si>
    <t>UNG</t>
  </si>
  <si>
    <t>Janick</t>
  </si>
  <si>
    <t>VANNAXAY</t>
  </si>
  <si>
    <t>VASSEUR</t>
  </si>
  <si>
    <t>VIAND</t>
  </si>
  <si>
    <t>VIDON</t>
  </si>
  <si>
    <t>VINET</t>
  </si>
  <si>
    <t>Marie-José</t>
  </si>
  <si>
    <t>ZANOTI</t>
  </si>
  <si>
    <t>ZAOUI</t>
  </si>
  <si>
    <t>Liliane</t>
  </si>
  <si>
    <t>ZENOU</t>
  </si>
  <si>
    <t>ZHOU</t>
  </si>
  <si>
    <t>ZIHOUNE</t>
  </si>
  <si>
    <t>ZOUC</t>
  </si>
  <si>
    <t>Fred</t>
  </si>
  <si>
    <t>Établir la répartition du personnel par site</t>
  </si>
  <si>
    <t>établir la répartition du personnel par site avec distinction hommes et femme</t>
  </si>
  <si>
    <t>calculez la somme des rémunérations par site</t>
  </si>
  <si>
    <t>établir la répartition des rémunérations par site avec leur somme et leur moyenne en distinguant hommes et femmes</t>
  </si>
  <si>
    <t>calculer la moyenne des rémunérations par tranche d'âge avec distinction hommes et femmes</t>
  </si>
  <si>
    <t>pour chaque tranche d'âge: trouver le nombre de personnes, l'âge minimum, la moyenne des âges, l'âge maximum</t>
  </si>
  <si>
    <t>id. exercice 6 mais avec distinction hommes et femmes</t>
  </si>
  <si>
    <t>pour chaque sexe et par site trouver : le nombre de personnes, l'âge minimum, la moyenne des âges, l'âge maximum</t>
  </si>
  <si>
    <t>Étiquettes de lignes</t>
  </si>
  <si>
    <t>Total général</t>
  </si>
  <si>
    <t>Nombre de Code</t>
  </si>
  <si>
    <t>Étiquettes de colonnes</t>
  </si>
  <si>
    <t>Site</t>
  </si>
  <si>
    <t>Filtre</t>
  </si>
  <si>
    <t>SOM_SALAIRE</t>
  </si>
  <si>
    <t>Total SOM_SALAIRE (€)</t>
  </si>
  <si>
    <t>SOM_SALAIRE (€)</t>
  </si>
  <si>
    <t>Total MOY_SALAIRE (€)</t>
  </si>
  <si>
    <t>MOY_SALAIRE (€)</t>
  </si>
  <si>
    <t>tranche d'age</t>
  </si>
  <si>
    <t>Nbre_Personne</t>
  </si>
  <si>
    <t>Tranche d'âge</t>
  </si>
  <si>
    <t>Age_MIN</t>
  </si>
  <si>
    <t>MOY_Age</t>
  </si>
  <si>
    <t>Age_MAX</t>
  </si>
  <si>
    <t>Exo6 : pour chaque tranche d'âge: trouver le nombre de personnes, l'âge minimum, la moyenne des âges, l'âge maximum</t>
  </si>
  <si>
    <t>Total Nbre_Personne</t>
  </si>
  <si>
    <t>Total Age_MIN</t>
  </si>
  <si>
    <t>Total Age_MAX</t>
  </si>
  <si>
    <t>Total MOY_Age</t>
  </si>
  <si>
    <t>SEXE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</si>
</sst>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\-#,##0.00\ [$€-40C]"/>
    <numFmt numFmtId="165" formatCode="d/m/yy"/>
  </numFmts>
  <fonts count="13" x14ac:knownFonts="1">
    <font>
      <sz val="10"/>
      <color rgb="FF000000"/>
      <name val="Calibri"/>
      <scheme val="minor"/>
    </font>
    <font>
      <sz val="20"/>
      <color rgb="FF333399"/>
      <name val="Verdana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333399"/>
      <name val="Arial"/>
      <family val="2"/>
    </font>
    <font>
      <b/>
      <sz val="8"/>
      <color rgb="FF339966"/>
      <name val="Arial"/>
      <family val="2"/>
    </font>
    <font>
      <b/>
      <sz val="7"/>
      <color rgb="FF339966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rgb="FFFF0000"/>
      <name val="Arial"/>
      <family val="2"/>
    </font>
    <font>
      <b/>
      <sz val="22"/>
      <color rgb="FF333399"/>
      <name val="Verdana"/>
      <family val="2"/>
    </font>
    <font>
      <b/>
      <sz val="22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E3E3E3"/>
        <bgColor rgb="FFE3E3E3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3" fillId="3" borderId="4" xfId="0" applyFont="1" applyFill="1" applyBorder="1"/>
    <xf numFmtId="0" fontId="4" fillId="2" borderId="4" xfId="0" applyFont="1" applyFill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7" fillId="5" borderId="4" xfId="0" applyFont="1" applyFill="1" applyBorder="1"/>
    <xf numFmtId="0" fontId="8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9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6" xfId="0" applyNumberFormat="1" applyBorder="1"/>
    <xf numFmtId="0" fontId="0" fillId="7" borderId="6" xfId="0" applyFill="1" applyBorder="1"/>
    <xf numFmtId="0" fontId="0" fillId="8" borderId="6" xfId="0" applyFill="1" applyBorder="1"/>
    <xf numFmtId="0" fontId="0" fillId="0" borderId="6" xfId="0" applyBorder="1" applyAlignment="1">
      <alignment horizontal="center" vertical="center"/>
    </xf>
    <xf numFmtId="0" fontId="0" fillId="0" borderId="6" xfId="0" pivotButton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6" xfId="0" applyNumberFormat="1" applyBorder="1"/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indent="1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0" fillId="2" borderId="1" xfId="0" applyFont="1" applyFill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</cellXfs>
  <cellStyles count="1">
    <cellStyle name="Normal" xfId="0" builtinId="0"/>
  </cellStyles>
  <dxfs count="168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vertical style="hair">
          <color indexed="64"/>
        </vertical>
        <horizontal style="hair">
          <color indexed="64"/>
        </horizontal>
      </border>
    </dxf>
    <dxf>
      <border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horizontal="center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8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7</xdr:row>
      <xdr:rowOff>9525</xdr:rowOff>
    </xdr:from>
    <xdr:ext cx="5715000" cy="2114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19225" y="1485900"/>
          <a:ext cx="5715000" cy="2114550"/>
        </a:xfrm>
        <a:prstGeom prst="rect">
          <a:avLst/>
        </a:prstGeom>
        <a:gradFill>
          <a:gsLst>
            <a:gs pos="0">
              <a:srgbClr val="C0C0C0"/>
            </a:gs>
            <a:gs pos="100000">
              <a:srgbClr val="FFFFFF"/>
            </a:gs>
          </a:gsLst>
          <a:lin ang="0" scaled="0"/>
        </a:gradFill>
        <a:ln>
          <a:noFill/>
        </a:ln>
      </xdr:spPr>
      <xdr:txBody>
        <a:bodyPr spcFirstLastPara="1" wrap="square" lIns="3657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Le but est de travailler avec une base de données pour en faire différentes analyses.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La liste (fictive) représente une entreprise de 284 personnes réparties sur 4 sites.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Les ages s'étendent de 20 à 65 ans. Chaque tranche d'âge correspond à cinq années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A partir de cette base de données, avec l'outil "rapport de tableaux croisés dynamiques" faire les 8 exercices suivants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695325</xdr:colOff>
      <xdr:row>5</xdr:row>
      <xdr:rowOff>95250</xdr:rowOff>
    </xdr:from>
    <xdr:ext cx="5715000" cy="85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P" refreshedDate="46092.636263657405" createdVersion="8" refreshedVersion="8" minRefreshableVersion="3" recordCount="284" xr:uid="{28EEBF6D-F842-46B7-BAF4-D04D8045FAF2}">
  <cacheSource type="worksheet">
    <worksheetSource ref="A1:K285" sheet="Liste"/>
  </cacheSource>
  <cacheFields count="11">
    <cacheField name="Code" numFmtId="0">
      <sharedItems containsString="0" containsBlank="1" containsNumber="1" containsInteger="1" minValue="1021" maxValue="1587"/>
    </cacheField>
    <cacheField name="NOM" numFmtId="0">
      <sharedItems/>
    </cacheField>
    <cacheField name="PRENOM" numFmtId="0">
      <sharedItems/>
    </cacheField>
    <cacheField name="TELEPHONE" numFmtId="0">
      <sharedItems containsSemiMixedTypes="0" containsString="0" containsNumber="1" containsInteger="1" minValue="3002" maxValue="3998"/>
    </cacheField>
    <cacheField name="SERVICE" numFmtId="0">
      <sharedItems/>
    </cacheField>
    <cacheField name="SITE" numFmtId="0">
      <sharedItems count="4">
        <s v="Paris"/>
        <s v="Lille"/>
        <s v="Nice"/>
        <s v="Strasbourg"/>
      </sharedItems>
    </cacheField>
    <cacheField name="SALAIRE" numFmtId="164">
      <sharedItems containsSemiMixedTypes="0" containsString="0" containsNumber="1" minValue="6164.4" maxValue="27235"/>
    </cacheField>
    <cacheField name="sexe" numFmtId="0">
      <sharedItems count="2">
        <s v="femme"/>
        <s v="homme"/>
      </sharedItems>
    </cacheField>
    <cacheField name="date de naisssance" numFmtId="165">
      <sharedItems containsSemiMixedTypes="0" containsNonDate="0" containsDate="1" containsString="0" minDate="1954-06-24T00:00:00" maxDate="1985-10-05T00:00:00"/>
    </cacheField>
    <cacheField name="AGE" numFmtId="0">
      <sharedItems containsSemiMixedTypes="0" containsString="0" containsNumber="1" containsInteger="1" minValue="40" maxValue="71" count="32">
        <n v="61"/>
        <n v="51"/>
        <n v="62"/>
        <n v="50"/>
        <n v="65"/>
        <n v="52"/>
        <n v="53"/>
        <n v="55"/>
        <n v="64"/>
        <n v="67"/>
        <n v="66"/>
        <n v="57"/>
        <n v="59"/>
        <n v="41"/>
        <n v="48"/>
        <n v="54"/>
        <n v="69"/>
        <n v="56"/>
        <n v="58"/>
        <n v="45"/>
        <n v="47"/>
        <n v="43"/>
        <n v="68"/>
        <n v="70"/>
        <n v="42"/>
        <n v="60"/>
        <n v="49"/>
        <n v="63"/>
        <n v="44"/>
        <n v="71"/>
        <n v="46"/>
        <n v="40"/>
      </sharedItems>
    </cacheField>
    <cacheField name="tranche" numFmtId="0">
      <sharedItems containsSemiMixedTypes="0" containsString="0" containsNumber="1" containsInteger="1" minValue="5" maxValue="11" count="7">
        <n v="9"/>
        <n v="7"/>
        <n v="10"/>
        <n v="8"/>
        <n v="5"/>
        <n v="6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1481"/>
    <s v="ABELLO"/>
    <s v="Myriam"/>
    <n v="3091"/>
    <s v="TECH"/>
    <x v="0"/>
    <n v="13197.46"/>
    <x v="0"/>
    <d v="1964-04-03T00:00:00"/>
    <x v="0"/>
    <x v="0"/>
  </r>
  <r>
    <n v="1147"/>
    <s v="ABSCHEN"/>
    <s v="Paul"/>
    <n v="3186"/>
    <s v="COM"/>
    <x v="0"/>
    <n v="16230.3"/>
    <x v="1"/>
    <d v="1974-05-04T00:00:00"/>
    <x v="1"/>
    <x v="1"/>
  </r>
  <r>
    <n v="1239"/>
    <s v="ADAMO"/>
    <s v="Stéphane"/>
    <n v="3055"/>
    <s v="RECH"/>
    <x v="0"/>
    <n v="16036.97"/>
    <x v="1"/>
    <d v="1963-06-08T00:00:00"/>
    <x v="2"/>
    <x v="0"/>
  </r>
  <r>
    <n v="1111"/>
    <s v="AGAPOF"/>
    <s v="Brigitte"/>
    <n v="3033"/>
    <s v="COM"/>
    <x v="1"/>
    <n v="6501.11"/>
    <x v="0"/>
    <d v="1975-09-14T00:00:00"/>
    <x v="3"/>
    <x v="1"/>
  </r>
  <r>
    <n v="1293"/>
    <s v="ALBERT"/>
    <s v="Marie-France"/>
    <n v="3127"/>
    <s v="TECH"/>
    <x v="2"/>
    <n v="20635.11"/>
    <x v="0"/>
    <d v="1960-10-03T00:00:00"/>
    <x v="4"/>
    <x v="2"/>
  </r>
  <r>
    <n v="1149"/>
    <s v="ALEMBERT"/>
    <s v="Jean"/>
    <n v="3408"/>
    <s v="TECH"/>
    <x v="0"/>
    <n v="7765.85"/>
    <x v="1"/>
    <d v="1973-07-05T00:00:00"/>
    <x v="5"/>
    <x v="1"/>
  </r>
  <r>
    <n v="1191"/>
    <s v="AMANDIER"/>
    <s v="Jean-Marc"/>
    <n v="3766"/>
    <s v="COM"/>
    <x v="1"/>
    <n v="10598.14"/>
    <x v="1"/>
    <d v="1972-03-29T00:00:00"/>
    <x v="6"/>
    <x v="1"/>
  </r>
  <r>
    <n v="1525"/>
    <s v="AMARA"/>
    <s v="Nicolas"/>
    <n v="3098"/>
    <s v="COM"/>
    <x v="0"/>
    <n v="27235"/>
    <x v="1"/>
    <d v="1971-03-08T00:00:00"/>
    <x v="7"/>
    <x v="3"/>
  </r>
  <r>
    <n v="1281"/>
    <s v="AMELLAL"/>
    <s v="Viviane"/>
    <n v="3421"/>
    <s v="TECH"/>
    <x v="3"/>
    <n v="17480.689999999999"/>
    <x v="0"/>
    <d v="1961-11-10T00:00:00"/>
    <x v="8"/>
    <x v="0"/>
  </r>
  <r>
    <n v="1377"/>
    <s v="ANGONIN"/>
    <s v="Jean-Pierre"/>
    <n v="3419"/>
    <s v="TECH"/>
    <x v="2"/>
    <n v="15446.76"/>
    <x v="1"/>
    <d v="1958-03-12T00:00:00"/>
    <x v="9"/>
    <x v="2"/>
  </r>
  <r>
    <n v="1307"/>
    <s v="AZRIA"/>
    <s v="Maryse"/>
    <n v="3060"/>
    <s v="FIN"/>
    <x v="0"/>
    <n v="10824.67"/>
    <x v="0"/>
    <d v="1959-07-15T00:00:00"/>
    <x v="10"/>
    <x v="2"/>
  </r>
  <r>
    <n v="1345"/>
    <s v="BACH"/>
    <s v="Ginette"/>
    <n v="3147"/>
    <s v="COM"/>
    <x v="1"/>
    <n v="18924.919999999998"/>
    <x v="0"/>
    <d v="1958-07-13T00:00:00"/>
    <x v="9"/>
    <x v="2"/>
  </r>
  <r>
    <n v="1347"/>
    <s v="BAH"/>
    <s v="Paule"/>
    <n v="3795"/>
    <s v="COM"/>
    <x v="0"/>
    <n v="7272.69"/>
    <x v="0"/>
    <d v="1959-05-22T00:00:00"/>
    <x v="10"/>
    <x v="2"/>
  </r>
  <r>
    <n v="1551"/>
    <s v="BARNAUD"/>
    <s v="Janine"/>
    <n v="3725"/>
    <s v="DIR"/>
    <x v="1"/>
    <n v="13211.56"/>
    <x v="0"/>
    <d v="1969-03-10T00:00:00"/>
    <x v="11"/>
    <x v="3"/>
  </r>
  <r>
    <n v="1221"/>
    <s v="BARRACHINA"/>
    <s v="Monique"/>
    <n v="3070"/>
    <s v="FIN"/>
    <x v="0"/>
    <n v="10537.74"/>
    <x v="0"/>
    <d v="1966-11-25T00:00:00"/>
    <x v="12"/>
    <x v="3"/>
  </r>
  <r>
    <n v="1023"/>
    <s v="BARRANDON"/>
    <s v="Margaret"/>
    <n v="3280"/>
    <s v="TECH"/>
    <x v="2"/>
    <n v="12122.64"/>
    <x v="0"/>
    <d v="1984-07-18T00:00:00"/>
    <x v="13"/>
    <x v="4"/>
  </r>
  <r>
    <n v="1241"/>
    <s v="BASS"/>
    <s v="Thierry"/>
    <n v="3090"/>
    <s v="TECH"/>
    <x v="3"/>
    <n v="12212.25"/>
    <x v="1"/>
    <d v="1963-07-28T00:00:00"/>
    <x v="2"/>
    <x v="0"/>
  </r>
  <r>
    <n v="1223"/>
    <s v="BAUDET"/>
    <s v="Michele"/>
    <n v="3880"/>
    <s v="TECH"/>
    <x v="0"/>
    <n v="19573.41"/>
    <x v="0"/>
    <d v="1966-09-25T00:00:00"/>
    <x v="12"/>
    <x v="3"/>
  </r>
  <r>
    <n v="1309"/>
    <s v="BAUDET"/>
    <s v="Arlette"/>
    <n v="3632"/>
    <s v="TECH"/>
    <x v="2"/>
    <n v="18942.97"/>
    <x v="0"/>
    <d v="1959-06-03T00:00:00"/>
    <x v="10"/>
    <x v="2"/>
  </r>
  <r>
    <n v="1073"/>
    <s v="BEAUDEAU"/>
    <s v="Gérard"/>
    <n v="3541"/>
    <s v="FIN"/>
    <x v="0"/>
    <n v="9360.2000000000007"/>
    <x v="1"/>
    <d v="1977-09-25T00:00:00"/>
    <x v="14"/>
    <x v="5"/>
  </r>
  <r>
    <n v="1193"/>
    <s v="BEAUMIER"/>
    <s v="Isabelle"/>
    <n v="3595"/>
    <s v="FIN"/>
    <x v="0"/>
    <n v="8635.34"/>
    <x v="0"/>
    <d v="1971-06-01T00:00:00"/>
    <x v="15"/>
    <x v="1"/>
  </r>
  <r>
    <n v="1075"/>
    <s v="BEDO"/>
    <s v="Jean"/>
    <n v="3008"/>
    <s v="DIR"/>
    <x v="1"/>
    <n v="9687.41"/>
    <x v="1"/>
    <d v="1978-02-22T00:00:00"/>
    <x v="14"/>
    <x v="5"/>
  </r>
  <r>
    <n v="1403"/>
    <s v="BEETHOVEN"/>
    <s v="Michele"/>
    <n v="3013"/>
    <s v="FIN"/>
    <x v="0"/>
    <n v="7418.36"/>
    <x v="0"/>
    <d v="1956-08-15T00:00:00"/>
    <x v="16"/>
    <x v="2"/>
  </r>
  <r>
    <n v="1209"/>
    <s v="BENHAMOU"/>
    <s v="Jeanine"/>
    <n v="3486"/>
    <s v="COM"/>
    <x v="1"/>
    <n v="13232.19"/>
    <x v="0"/>
    <d v="1970-01-14T00:00:00"/>
    <x v="17"/>
    <x v="3"/>
  </r>
  <r>
    <n v="1553"/>
    <s v="BENSIMON"/>
    <s v="Elisabeth"/>
    <n v="3287"/>
    <s v="TECH"/>
    <x v="2"/>
    <n v="13033.62"/>
    <x v="0"/>
    <d v="1968-09-07T00:00:00"/>
    <x v="11"/>
    <x v="3"/>
  </r>
  <r>
    <n v="1131"/>
    <s v="BÉRAUD"/>
    <s v="Giséle"/>
    <n v="3141"/>
    <s v="COM"/>
    <x v="1"/>
    <n v="11393.43"/>
    <x v="0"/>
    <d v="1975-01-01T00:00:00"/>
    <x v="1"/>
    <x v="1"/>
  </r>
  <r>
    <n v="1567"/>
    <s v="BERDUGO"/>
    <s v="Bernadette"/>
    <n v="3710"/>
    <s v="TECH"/>
    <x v="2"/>
    <n v="14652.57"/>
    <x v="0"/>
    <d v="1967-08-17T00:00:00"/>
    <x v="18"/>
    <x v="3"/>
  </r>
  <r>
    <n v="1543"/>
    <s v="BERNIER"/>
    <s v="Henri"/>
    <n v="3132"/>
    <s v="COM"/>
    <x v="2"/>
    <n v="20998.11"/>
    <x v="1"/>
    <d v="1969-05-12T00:00:00"/>
    <x v="17"/>
    <x v="3"/>
  </r>
  <r>
    <n v="1483"/>
    <s v="BERTOLO"/>
    <s v="Claudie"/>
    <n v="3012"/>
    <s v="COM"/>
    <x v="2"/>
    <n v="11016.74"/>
    <x v="0"/>
    <d v="1963-09-20T00:00:00"/>
    <x v="2"/>
    <x v="0"/>
  </r>
  <r>
    <n v="1349"/>
    <s v="BERTRAND"/>
    <s v="Roger"/>
    <n v="3626"/>
    <s v="RECH"/>
    <x v="0"/>
    <n v="13065.95"/>
    <x v="1"/>
    <d v="1958-07-04T00:00:00"/>
    <x v="9"/>
    <x v="2"/>
  </r>
  <r>
    <m/>
    <s v="BIDAULT"/>
    <s v="Marie-Reine"/>
    <n v="3733"/>
    <s v="TECH"/>
    <x v="2"/>
    <n v="11483.7"/>
    <x v="0"/>
    <d v="1963-11-12T00:00:00"/>
    <x v="2"/>
    <x v="0"/>
  </r>
  <r>
    <n v="1043"/>
    <s v="BINET"/>
    <s v="Jacques"/>
    <n v="3023"/>
    <s v="COM"/>
    <x v="2"/>
    <n v="14550.42"/>
    <x v="1"/>
    <d v="1981-01-12T00:00:00"/>
    <x v="19"/>
    <x v="5"/>
  </r>
  <r>
    <n v="1495"/>
    <s v="BLANC"/>
    <s v="Giséle"/>
    <n v="3650"/>
    <s v="COM"/>
    <x v="2"/>
    <n v="18567.61"/>
    <x v="0"/>
    <d v="1973-07-05T00:00:00"/>
    <x v="5"/>
    <x v="1"/>
  </r>
  <r>
    <n v="1471"/>
    <s v="BLANCHOT"/>
    <s v="Guy"/>
    <n v="3089"/>
    <s v="TECH"/>
    <x v="2"/>
    <n v="16814.810000000001"/>
    <x v="1"/>
    <d v="1964-11-04T00:00:00"/>
    <x v="0"/>
    <x v="0"/>
  </r>
  <r>
    <n v="1177"/>
    <s v="BOLLO"/>
    <s v="René"/>
    <n v="3568"/>
    <s v="COM"/>
    <x v="2"/>
    <n v="6372.99"/>
    <x v="1"/>
    <d v="1973-04-03T00:00:00"/>
    <x v="5"/>
    <x v="1"/>
  </r>
  <r>
    <n v="1077"/>
    <s v="BONNAY"/>
    <s v="Nadège"/>
    <n v="3214"/>
    <s v="FIN"/>
    <x v="0"/>
    <n v="12287.69"/>
    <x v="0"/>
    <d v="1978-03-20T00:00:00"/>
    <x v="20"/>
    <x v="5"/>
  </r>
  <r>
    <n v="1029"/>
    <s v="BOUCHET"/>
    <s v="Nadège"/>
    <n v="3059"/>
    <s v="TECH"/>
    <x v="0"/>
    <n v="15948.14"/>
    <x v="0"/>
    <d v="1982-11-11T00:00:00"/>
    <x v="21"/>
    <x v="4"/>
  </r>
  <r>
    <n v="1311"/>
    <s v="BOUCHET"/>
    <s v="Micheline"/>
    <n v="3170"/>
    <s v="TECH"/>
    <x v="0"/>
    <n v="13834.41"/>
    <x v="0"/>
    <d v="1959-06-12T00:00:00"/>
    <x v="10"/>
    <x v="2"/>
  </r>
  <r>
    <n v="1079"/>
    <s v="BOUDART"/>
    <s v="Martine"/>
    <n v="3586"/>
    <s v="TECH"/>
    <x v="0"/>
    <n v="20569.8"/>
    <x v="0"/>
    <d v="1977-11-18T00:00:00"/>
    <x v="14"/>
    <x v="5"/>
  </r>
  <r>
    <n v="1133"/>
    <s v="BOULLICAUD"/>
    <s v="Jean-Paul"/>
    <n v="3095"/>
    <s v="TECH"/>
    <x v="2"/>
    <n v="15624.63"/>
    <x v="1"/>
    <d v="1975-04-21T00:00:00"/>
    <x v="3"/>
    <x v="1"/>
  </r>
  <r>
    <n v="1231"/>
    <s v="BOUN"/>
    <s v="Jeanine"/>
    <n v="3080"/>
    <s v="RECH"/>
    <x v="2"/>
    <n v="14847.91"/>
    <x v="0"/>
    <d v="1964-06-25T00:00:00"/>
    <x v="0"/>
    <x v="0"/>
  </r>
  <r>
    <n v="1379"/>
    <s v="BOUSLAH"/>
    <s v="Fabien"/>
    <n v="3111"/>
    <s v="FIN"/>
    <x v="0"/>
    <n v="9485.69"/>
    <x v="1"/>
    <d v="1957-11-04T00:00:00"/>
    <x v="22"/>
    <x v="2"/>
  </r>
  <r>
    <n v="1545"/>
    <s v="BOUZCKAR"/>
    <s v="Ghislaine"/>
    <n v="3801"/>
    <s v="COM"/>
    <x v="3"/>
    <n v="23504"/>
    <x v="0"/>
    <d v="1969-12-12T00:00:00"/>
    <x v="17"/>
    <x v="3"/>
  </r>
  <r>
    <n v="1351"/>
    <s v="BOVERO"/>
    <s v="Gilbert"/>
    <n v="3456"/>
    <s v="COM"/>
    <x v="3"/>
    <n v="17663.28"/>
    <x v="1"/>
    <d v="1959-05-19T00:00:00"/>
    <x v="10"/>
    <x v="2"/>
  </r>
  <r>
    <n v="1081"/>
    <s v="BRELEUR"/>
    <s v="Jacques"/>
    <n v="3002"/>
    <s v="FIN"/>
    <x v="0"/>
    <n v="17372.38"/>
    <x v="1"/>
    <d v="1977-06-17T00:00:00"/>
    <x v="14"/>
    <x v="5"/>
  </r>
  <r>
    <n v="1243"/>
    <s v="BRON"/>
    <s v="Géneviéve"/>
    <n v="3009"/>
    <s v="COM"/>
    <x v="3"/>
    <n v="14127.65"/>
    <x v="0"/>
    <d v="1963-08-30T00:00:00"/>
    <x v="2"/>
    <x v="0"/>
  </r>
  <r>
    <n v="1037"/>
    <s v="BRUNET"/>
    <s v="Françoise"/>
    <n v="3715"/>
    <s v="COM"/>
    <x v="3"/>
    <n v="7297.33"/>
    <x v="0"/>
    <d v="1982-04-03T00:00:00"/>
    <x v="21"/>
    <x v="4"/>
  </r>
  <r>
    <n v="1151"/>
    <s v="BSIRI"/>
    <s v="Marie-Rose"/>
    <n v="3769"/>
    <s v="DIR"/>
    <x v="3"/>
    <n v="15248.4"/>
    <x v="0"/>
    <d v="1974-02-22T00:00:00"/>
    <x v="5"/>
    <x v="1"/>
  </r>
  <r>
    <n v="1423"/>
    <s v="CAILLOT"/>
    <s v="Jocelyne"/>
    <n v="3021"/>
    <s v="TECH"/>
    <x v="2"/>
    <n v="15858.29"/>
    <x v="0"/>
    <d v="1955-07-15T00:00:00"/>
    <x v="23"/>
    <x v="6"/>
  </r>
  <r>
    <n v="1135"/>
    <s v="CALVET"/>
    <s v="Christine"/>
    <n v="3666"/>
    <s v="TECH"/>
    <x v="2"/>
    <n v="17451.78"/>
    <x v="0"/>
    <d v="1974-09-23T00:00:00"/>
    <x v="1"/>
    <x v="1"/>
  </r>
  <r>
    <n v="1577"/>
    <s v="CAPRON"/>
    <s v="Claude"/>
    <n v="3162"/>
    <s v="COM"/>
    <x v="3"/>
    <n v="14258.45"/>
    <x v="1"/>
    <d v="1967-01-09T00:00:00"/>
    <x v="12"/>
    <x v="3"/>
  </r>
  <r>
    <n v="1527"/>
    <s v="CARRERA"/>
    <s v="Victor"/>
    <n v="3016"/>
    <s v="TECH"/>
    <x v="3"/>
    <n v="7060.88"/>
    <x v="1"/>
    <d v="1970-08-08T00:00:00"/>
    <x v="7"/>
    <x v="3"/>
  </r>
  <r>
    <n v="1153"/>
    <s v="CHAMBLAS"/>
    <s v="Paule"/>
    <n v="3657"/>
    <s v="COM"/>
    <x v="0"/>
    <n v="10449.92"/>
    <x v="0"/>
    <d v="1973-08-26T00:00:00"/>
    <x v="5"/>
    <x v="1"/>
  </r>
  <r>
    <n v="1083"/>
    <s v="CHARDON"/>
    <s v="Annick"/>
    <n v="3129"/>
    <s v="FIN"/>
    <x v="2"/>
    <n v="16881.939999999999"/>
    <x v="0"/>
    <d v="1978-02-10T00:00:00"/>
    <x v="14"/>
    <x v="5"/>
  </r>
  <r>
    <n v="1039"/>
    <s v="CHAUBEAU"/>
    <s v="Louis"/>
    <n v="3171"/>
    <s v="TECH"/>
    <x v="2"/>
    <n v="18069.400000000001"/>
    <x v="1"/>
    <d v="1982-04-24T00:00:00"/>
    <x v="21"/>
    <x v="4"/>
  </r>
  <r>
    <n v="1201"/>
    <s v="CHAVES"/>
    <s v="Thierry"/>
    <n v="3879"/>
    <s v="DIR"/>
    <x v="3"/>
    <n v="12687.17"/>
    <x v="1"/>
    <d v="1970-10-23T00:00:00"/>
    <x v="7"/>
    <x v="3"/>
  </r>
  <r>
    <n v="1555"/>
    <s v="CHEHMAT"/>
    <s v="Jocelyne"/>
    <n v="3062"/>
    <s v="TECH"/>
    <x v="2"/>
    <n v="12712.16"/>
    <x v="0"/>
    <d v="1968-07-28T00:00:00"/>
    <x v="11"/>
    <x v="3"/>
  </r>
  <r>
    <n v="1513"/>
    <s v="CHHUOR"/>
    <s v="Anne-Marie"/>
    <n v="3247"/>
    <s v="FIN"/>
    <x v="2"/>
    <n v="20750.740000000002"/>
    <x v="0"/>
    <d v="1972-01-18T00:00:00"/>
    <x v="15"/>
    <x v="1"/>
  </r>
  <r>
    <n v="1283"/>
    <s v="CHI"/>
    <s v="Nicole"/>
    <n v="3778"/>
    <s v="COM"/>
    <x v="0"/>
    <n v="17046.79"/>
    <x v="0"/>
    <d v="1961-09-22T00:00:00"/>
    <x v="8"/>
    <x v="0"/>
  </r>
  <r>
    <n v="1353"/>
    <s v="CHICHE"/>
    <s v="Vincent"/>
    <n v="3041"/>
    <s v="TECH"/>
    <x v="3"/>
    <n v="19285.599999999999"/>
    <x v="1"/>
    <d v="1959-03-30T00:00:00"/>
    <x v="10"/>
    <x v="2"/>
  </r>
  <r>
    <n v="1113"/>
    <s v="CHIFFLET"/>
    <s v="Ingrid"/>
    <n v="3417"/>
    <s v="COM"/>
    <x v="3"/>
    <n v="19650.72"/>
    <x v="0"/>
    <d v="1975-09-11T00:00:00"/>
    <x v="3"/>
    <x v="1"/>
  </r>
  <r>
    <n v="1025"/>
    <s v="CHRISTOPHE"/>
    <s v="Giséle"/>
    <n v="3185"/>
    <s v="COM"/>
    <x v="2"/>
    <n v="17854.95"/>
    <x v="0"/>
    <d v="1983-11-27T00:00:00"/>
    <x v="24"/>
    <x v="4"/>
  </r>
  <r>
    <n v="1355"/>
    <s v="CLAVERIE"/>
    <s v="Chantal"/>
    <n v="3168"/>
    <s v="COM"/>
    <x v="2"/>
    <n v="13861.87"/>
    <x v="0"/>
    <d v="1958-11-18T00:00:00"/>
    <x v="9"/>
    <x v="2"/>
  </r>
  <r>
    <n v="1211"/>
    <s v="COHEN"/>
    <s v="Christian"/>
    <n v="3173"/>
    <s v="TECH"/>
    <x v="2"/>
    <n v="12986.66"/>
    <x v="1"/>
    <d v="1970-03-23T00:00:00"/>
    <x v="7"/>
    <x v="3"/>
  </r>
  <r>
    <n v="1225"/>
    <s v="COMTE"/>
    <s v="Martin"/>
    <n v="3054"/>
    <s v="DIR"/>
    <x v="0"/>
    <n v="6659.39"/>
    <x v="1"/>
    <d v="1966-02-27T00:00:00"/>
    <x v="25"/>
    <x v="0"/>
  </r>
  <r>
    <n v="1115"/>
    <s v="CORBET"/>
    <s v="Marie-Thérése"/>
    <n v="3149"/>
    <s v="DIR"/>
    <x v="0"/>
    <n v="6164.4"/>
    <x v="0"/>
    <d v="1976-04-26T00:00:00"/>
    <x v="26"/>
    <x v="5"/>
  </r>
  <r>
    <n v="1245"/>
    <s v="COUDERC"/>
    <s v="Marie-Louise"/>
    <n v="3627"/>
    <s v="COM"/>
    <x v="2"/>
    <n v="20065.580000000002"/>
    <x v="0"/>
    <d v="1964-02-03T00:00:00"/>
    <x v="2"/>
    <x v="0"/>
  </r>
  <r>
    <n v="1155"/>
    <s v="COUGET"/>
    <s v="Denis"/>
    <n v="3730"/>
    <s v="DIR"/>
    <x v="1"/>
    <n v="15187.79"/>
    <x v="0"/>
    <d v="1974-05-02T00:00:00"/>
    <x v="1"/>
    <x v="1"/>
  </r>
  <r>
    <n v="1529"/>
    <s v="CRIÉ"/>
    <s v="Michel"/>
    <n v="3946"/>
    <s v="TECH"/>
    <x v="0"/>
    <n v="18745.23"/>
    <x v="1"/>
    <d v="1970-06-05T00:00:00"/>
    <x v="7"/>
    <x v="3"/>
  </r>
  <r>
    <n v="1099"/>
    <s v="CROMBEZ"/>
    <s v="Katherine"/>
    <n v="3200"/>
    <s v="TECH"/>
    <x v="2"/>
    <n v="17486.900000000001"/>
    <x v="0"/>
    <d v="1977-03-09T00:00:00"/>
    <x v="26"/>
    <x v="5"/>
  </r>
  <r>
    <n v="1179"/>
    <s v="CUCIT"/>
    <s v="Marie-Louise"/>
    <n v="3794"/>
    <s v="COM"/>
    <x v="2"/>
    <n v="12207.02"/>
    <x v="0"/>
    <d v="1973-05-07T00:00:00"/>
    <x v="5"/>
    <x v="1"/>
  </r>
  <r>
    <n v="1313"/>
    <s v="CYMBALIST"/>
    <s v="Gérard"/>
    <n v="3270"/>
    <s v="COM"/>
    <x v="2"/>
    <n v="7057.17"/>
    <x v="1"/>
    <d v="1959-10-16T00:00:00"/>
    <x v="10"/>
    <x v="2"/>
  </r>
  <r>
    <n v="1259"/>
    <s v="DAMBSKI"/>
    <s v="René"/>
    <n v="3076"/>
    <s v="FIN"/>
    <x v="0"/>
    <n v="8332.08"/>
    <x v="1"/>
    <d v="1962-06-19T00:00:00"/>
    <x v="27"/>
    <x v="0"/>
  </r>
  <r>
    <n v="1181"/>
    <s v="DANIEL"/>
    <s v="Marie-Louise"/>
    <n v="3633"/>
    <s v="TECH"/>
    <x v="0"/>
    <n v="11600.02"/>
    <x v="0"/>
    <d v="1973-01-28T00:00:00"/>
    <x v="6"/>
    <x v="1"/>
  </r>
  <r>
    <n v="1473"/>
    <s v="DEAUCOURT"/>
    <s v="Christine"/>
    <n v="3082"/>
    <s v="COM"/>
    <x v="2"/>
    <n v="20081.28"/>
    <x v="0"/>
    <d v="1965-03-05T00:00:00"/>
    <x v="0"/>
    <x v="0"/>
  </r>
  <r>
    <n v="1063"/>
    <s v="DEDIEU"/>
    <s v="Josselaine"/>
    <n v="3712"/>
    <s v="TECH"/>
    <x v="2"/>
    <n v="16978.28"/>
    <x v="0"/>
    <d v="1978-07-27T00:00:00"/>
    <x v="20"/>
    <x v="5"/>
  </r>
  <r>
    <n v="1445"/>
    <s v="DEFRANCE"/>
    <s v="Sylvanna"/>
    <n v="3005"/>
    <s v="RECH"/>
    <x v="0"/>
    <n v="16406.46"/>
    <x v="0"/>
    <d v="1965-10-30T00:00:00"/>
    <x v="25"/>
    <x v="0"/>
  </r>
  <r>
    <n v="1087"/>
    <s v="DEGRENDEL"/>
    <s v="Hubert"/>
    <n v="3780"/>
    <s v="DIR"/>
    <x v="1"/>
    <n v="16018.92"/>
    <x v="1"/>
    <d v="1978-03-17T00:00:00"/>
    <x v="20"/>
    <x v="5"/>
  </r>
  <r>
    <n v="1247"/>
    <s v="DEIXONNE"/>
    <s v="Nadine"/>
    <n v="3631"/>
    <s v="TECH"/>
    <x v="0"/>
    <n v="7539.83"/>
    <x v="0"/>
    <d v="1963-07-26T00:00:00"/>
    <x v="2"/>
    <x v="0"/>
  </r>
  <r>
    <n v="1195"/>
    <s v="DELAMARRE"/>
    <s v="Jean-Luc"/>
    <n v="3108"/>
    <s v="COM"/>
    <x v="2"/>
    <n v="6859.76"/>
    <x v="1"/>
    <d v="1971-11-04T00:00:00"/>
    <x v="15"/>
    <x v="1"/>
  </r>
  <r>
    <n v="1425"/>
    <s v="DELUC"/>
    <s v="Pascal"/>
    <n v="3068"/>
    <s v="TECH"/>
    <x v="0"/>
    <n v="19994.91"/>
    <x v="1"/>
    <d v="1956-02-23T00:00:00"/>
    <x v="23"/>
    <x v="6"/>
  </r>
  <r>
    <n v="1233"/>
    <s v="DENIS"/>
    <s v="Claudine"/>
    <n v="3669"/>
    <s v="FIN"/>
    <x v="2"/>
    <n v="7913.25"/>
    <x v="0"/>
    <d v="1964-06-03T00:00:00"/>
    <x v="0"/>
    <x v="0"/>
  </r>
  <r>
    <n v="1315"/>
    <s v="DESHAYES"/>
    <s v="Isabelle"/>
    <n v="3822"/>
    <s v="FIN"/>
    <x v="2"/>
    <n v="8135.96"/>
    <x v="0"/>
    <d v="1959-10-18T00:00:00"/>
    <x v="10"/>
    <x v="2"/>
  </r>
  <r>
    <n v="1203"/>
    <s v="DESROSES"/>
    <s v="Martine"/>
    <n v="3119"/>
    <s v="DIR"/>
    <x v="0"/>
    <n v="19196.21"/>
    <x v="0"/>
    <d v="1970-11-17T00:00:00"/>
    <x v="7"/>
    <x v="3"/>
  </r>
  <r>
    <n v="1357"/>
    <s v="DESTAIN"/>
    <s v="Roseline"/>
    <n v="3152"/>
    <s v="TECH"/>
    <x v="0"/>
    <n v="11830.22"/>
    <x v="0"/>
    <d v="1958-08-20T00:00:00"/>
    <x v="9"/>
    <x v="2"/>
  </r>
  <r>
    <n v="1485"/>
    <s v="D'HÉROUVILLE"/>
    <s v="Yolande"/>
    <n v="3259"/>
    <s v="DIR"/>
    <x v="3"/>
    <n v="12720.76"/>
    <x v="0"/>
    <d v="1963-07-14T00:00:00"/>
    <x v="2"/>
    <x v="0"/>
  </r>
  <r>
    <n v="1381"/>
    <s v="DI"/>
    <s v="Nadine"/>
    <n v="3727"/>
    <s v="TECH"/>
    <x v="0"/>
    <n v="9121.43"/>
    <x v="0"/>
    <d v="1957-10-16T00:00:00"/>
    <x v="22"/>
    <x v="2"/>
  </r>
  <r>
    <n v="1027"/>
    <s v="DINIC"/>
    <s v="Jean-François"/>
    <n v="3113"/>
    <s v="TECH"/>
    <x v="2"/>
    <n v="7850"/>
    <x v="1"/>
    <d v="1984-02-28T00:00:00"/>
    <x v="24"/>
    <x v="4"/>
  </r>
  <r>
    <n v="1117"/>
    <s v="DONG"/>
    <s v="Huguette"/>
    <n v="3647"/>
    <s v="DIR"/>
    <x v="1"/>
    <n v="16403.86"/>
    <x v="0"/>
    <d v="1975-12-05T00:00:00"/>
    <x v="3"/>
    <x v="1"/>
  </r>
  <r>
    <n v="1101"/>
    <s v="DOUCOURE"/>
    <s v="Jean-Jacques"/>
    <n v="3114"/>
    <s v="DIR"/>
    <x v="1"/>
    <n v="6841.79"/>
    <x v="1"/>
    <d v="1976-06-22T00:00:00"/>
    <x v="26"/>
    <x v="5"/>
  </r>
  <r>
    <n v="1557"/>
    <s v="DUPRÉ"/>
    <s v="Sophie"/>
    <n v="3075"/>
    <s v="FIN"/>
    <x v="2"/>
    <n v="13755.92"/>
    <x v="0"/>
    <d v="1969-02-11T00:00:00"/>
    <x v="11"/>
    <x v="3"/>
  </r>
  <r>
    <n v="1183"/>
    <s v="DURAND"/>
    <s v="Jean-Pierre"/>
    <n v="3592"/>
    <s v="COM"/>
    <x v="2"/>
    <n v="11573.08"/>
    <x v="1"/>
    <d v="1972-11-08T00:00:00"/>
    <x v="6"/>
    <x v="1"/>
  </r>
  <r>
    <n v="1383"/>
    <s v="DURAND"/>
    <s v="Ginette"/>
    <n v="3637"/>
    <s v="COM"/>
    <x v="2"/>
    <n v="20488.72"/>
    <x v="0"/>
    <d v="1957-08-11T00:00:00"/>
    <x v="22"/>
    <x v="2"/>
  </r>
  <r>
    <n v="1559"/>
    <s v="DURAND-RENIER"/>
    <s v="Jean-François"/>
    <n v="3667"/>
    <s v="COM"/>
    <x v="2"/>
    <n v="10088.36"/>
    <x v="1"/>
    <d v="1969-02-28T00:00:00"/>
    <x v="11"/>
    <x v="3"/>
  </r>
  <r>
    <n v="1497"/>
    <s v="DUROC"/>
    <s v="Annie"/>
    <n v="3819"/>
    <s v="TECH"/>
    <x v="2"/>
    <n v="14794.54"/>
    <x v="0"/>
    <d v="1962-05-29T00:00:00"/>
    <x v="27"/>
    <x v="0"/>
  </r>
  <r>
    <n v="1317"/>
    <s v="EL KAABI"/>
    <s v="Nicole"/>
    <n v="3172"/>
    <s v="COM"/>
    <x v="0"/>
    <n v="12901.68"/>
    <x v="0"/>
    <d v="1959-08-18T00:00:00"/>
    <x v="10"/>
    <x v="2"/>
  </r>
  <r>
    <n v="1285"/>
    <s v="FABRE"/>
    <s v="Didier"/>
    <n v="3717"/>
    <s v="COM"/>
    <x v="2"/>
    <n v="20981.38"/>
    <x v="1"/>
    <d v="1961-12-13T00:00:00"/>
    <x v="8"/>
    <x v="0"/>
  </r>
  <r>
    <n v="1405"/>
    <s v="FALZON"/>
    <s v="Patricia"/>
    <n v="3673"/>
    <s v="COM"/>
    <x v="0"/>
    <n v="9807.73"/>
    <x v="0"/>
    <d v="1957-04-30T00:00:00"/>
    <x v="22"/>
    <x v="2"/>
  </r>
  <r>
    <n v="1249"/>
    <s v="FARIDI"/>
    <s v="Marie-Thérése"/>
    <n v="3861"/>
    <s v="DIR"/>
    <x v="0"/>
    <n v="20593.169999999998"/>
    <x v="0"/>
    <d v="1964-01-05T00:00:00"/>
    <x v="2"/>
    <x v="0"/>
  </r>
  <r>
    <n v="1251"/>
    <s v="FAUCHEUX"/>
    <s v="Michel"/>
    <n v="3557"/>
    <s v="COM"/>
    <x v="0"/>
    <n v="9848.66"/>
    <x v="1"/>
    <d v="1963-08-20T00:00:00"/>
    <x v="2"/>
    <x v="0"/>
  </r>
  <r>
    <n v="1487"/>
    <s v="FAUQUIER"/>
    <s v="Mireille"/>
    <n v="3417"/>
    <s v="COM"/>
    <x v="0"/>
    <n v="11356.82"/>
    <x v="0"/>
    <d v="1964-03-16T00:00:00"/>
    <x v="0"/>
    <x v="0"/>
  </r>
  <r>
    <n v="1515"/>
    <s v="FAURE"/>
    <s v="Simone"/>
    <n v="3983"/>
    <s v="RECH"/>
    <x v="0"/>
    <n v="6325.15"/>
    <x v="0"/>
    <d v="1971-09-10T00:00:00"/>
    <x v="15"/>
    <x v="1"/>
  </r>
  <r>
    <n v="1489"/>
    <s v="FAVRE"/>
    <s v="Dany"/>
    <n v="3118"/>
    <s v="FIN"/>
    <x v="2"/>
    <n v="13524.85"/>
    <x v="0"/>
    <d v="1963-08-13T00:00:00"/>
    <x v="2"/>
    <x v="0"/>
  </r>
  <r>
    <n v="1475"/>
    <s v="FEDON"/>
    <s v="Marie-Claude"/>
    <n v="3157"/>
    <s v="TECH"/>
    <x v="2"/>
    <n v="7516.32"/>
    <x v="0"/>
    <d v="1964-06-26T00:00:00"/>
    <x v="0"/>
    <x v="0"/>
  </r>
  <r>
    <n v="1319"/>
    <s v="FERNANDEZ"/>
    <s v="Yvette"/>
    <n v="3736"/>
    <s v="COM"/>
    <x v="3"/>
    <n v="16859.03"/>
    <x v="0"/>
    <d v="1959-09-25T00:00:00"/>
    <x v="10"/>
    <x v="2"/>
  </r>
  <r>
    <n v="1531"/>
    <s v="FERNANDEZ"/>
    <s v="Suzanne"/>
    <n v="3984"/>
    <s v="COM"/>
    <x v="0"/>
    <n v="20947.330000000002"/>
    <x v="0"/>
    <d v="1971-03-20T00:00:00"/>
    <x v="15"/>
    <x v="1"/>
  </r>
  <r>
    <n v="1045"/>
    <s v="FERRAND"/>
    <s v="Danielle"/>
    <n v="3122"/>
    <s v="FIN"/>
    <x v="2"/>
    <n v="13665.11"/>
    <x v="0"/>
    <d v="1981-01-02T00:00:00"/>
    <x v="19"/>
    <x v="5"/>
  </r>
  <r>
    <n v="1287"/>
    <s v="FILLEAU"/>
    <s v="Sylvie"/>
    <n v="3137"/>
    <s v="RECH"/>
    <x v="0"/>
    <n v="18686.79"/>
    <x v="0"/>
    <d v="1961-06-08T00:00:00"/>
    <x v="8"/>
    <x v="0"/>
  </r>
  <r>
    <n v="1359"/>
    <s v="FITOUSSI"/>
    <s v="Samuel"/>
    <n v="3554"/>
    <s v="RECH"/>
    <x v="0"/>
    <n v="20750.52"/>
    <x v="1"/>
    <d v="1958-10-08T00:00:00"/>
    <x v="9"/>
    <x v="2"/>
  </r>
  <r>
    <n v="1185"/>
    <s v="FOURNOL"/>
    <s v="Michele"/>
    <n v="3182"/>
    <s v="TECH"/>
    <x v="0"/>
    <n v="19027.830000000002"/>
    <x v="0"/>
    <d v="1973-04-18T00:00:00"/>
    <x v="5"/>
    <x v="1"/>
  </r>
  <r>
    <n v="1047"/>
    <s v="FRANÇOIS"/>
    <s v="Anne-Marie"/>
    <n v="3093"/>
    <s v="FIN"/>
    <x v="2"/>
    <n v="20499.29"/>
    <x v="0"/>
    <d v="1981-05-24T00:00:00"/>
    <x v="28"/>
    <x v="4"/>
  </r>
  <r>
    <n v="1427"/>
    <s v="FRENOIS"/>
    <s v="Giséle"/>
    <n v="3007"/>
    <s v="DIR"/>
    <x v="1"/>
    <n v="20744.77"/>
    <x v="0"/>
    <d v="1955-09-21T00:00:00"/>
    <x v="23"/>
    <x v="6"/>
  </r>
  <r>
    <n v="1157"/>
    <s v="FRETTE"/>
    <s v="Daniel"/>
    <n v="3969"/>
    <s v="DIR"/>
    <x v="2"/>
    <n v="7524.02"/>
    <x v="1"/>
    <d v="1974-04-08T00:00:00"/>
    <x v="1"/>
    <x v="1"/>
  </r>
  <r>
    <n v="1137"/>
    <s v="FRISA"/>
    <s v="Brigitte"/>
    <n v="3112"/>
    <s v="TECH"/>
    <x v="2"/>
    <n v="6616.3"/>
    <x v="0"/>
    <d v="1974-12-08T00:00:00"/>
    <x v="1"/>
    <x v="1"/>
  </r>
  <r>
    <n v="1569"/>
    <s v="GARCIA"/>
    <s v="Ghyslaine"/>
    <n v="3243"/>
    <s v="COM"/>
    <x v="2"/>
    <n v="16845.23"/>
    <x v="0"/>
    <d v="1968-01-24T00:00:00"/>
    <x v="18"/>
    <x v="3"/>
  </r>
  <r>
    <n v="1261"/>
    <s v="GEIL"/>
    <s v="Dominique"/>
    <n v="3145"/>
    <s v="COM"/>
    <x v="2"/>
    <n v="20188.98"/>
    <x v="1"/>
    <d v="1962-10-27T00:00:00"/>
    <x v="27"/>
    <x v="0"/>
  </r>
  <r>
    <n v="1321"/>
    <s v="GENTIL"/>
    <s v="Michelle"/>
    <n v="3581"/>
    <s v="TECH"/>
    <x v="0"/>
    <n v="10337.31"/>
    <x v="0"/>
    <d v="1959-08-10T00:00:00"/>
    <x v="10"/>
    <x v="2"/>
  </r>
  <r>
    <n v="1385"/>
    <s v="GEORGET"/>
    <s v="Philippe"/>
    <n v="3099"/>
    <s v="COM"/>
    <x v="0"/>
    <n v="11704.55"/>
    <x v="1"/>
    <d v="1957-08-15T00:00:00"/>
    <x v="22"/>
    <x v="2"/>
  </r>
  <r>
    <n v="1323"/>
    <s v="GHAFFAR"/>
    <s v="Ghislaine"/>
    <n v="3657"/>
    <s v="COM"/>
    <x v="2"/>
    <n v="16127.13"/>
    <x v="0"/>
    <d v="1959-11-21T00:00:00"/>
    <x v="10"/>
    <x v="2"/>
  </r>
  <r>
    <n v="1447"/>
    <s v="GHIBAUDO"/>
    <s v="Nicole"/>
    <n v="3882"/>
    <s v="COM"/>
    <x v="0"/>
    <n v="8578.16"/>
    <x v="0"/>
    <d v="1955-05-17T00:00:00"/>
    <x v="23"/>
    <x v="6"/>
  </r>
  <r>
    <n v="1387"/>
    <s v="GILLINGHAM"/>
    <s v="Magdeleine"/>
    <n v="3617"/>
    <s v="TECH"/>
    <x v="2"/>
    <n v="9230.2000000000007"/>
    <x v="0"/>
    <d v="1958-05-01T00:00:00"/>
    <x v="9"/>
    <x v="2"/>
  </r>
  <r>
    <n v="1325"/>
    <s v="GIRARD"/>
    <s v="André"/>
    <n v="3116"/>
    <s v="FIN"/>
    <x v="2"/>
    <n v="9110.65"/>
    <x v="1"/>
    <d v="1959-07-14T00:00:00"/>
    <x v="10"/>
    <x v="2"/>
  </r>
  <r>
    <n v="1235"/>
    <s v="GIRAUDO"/>
    <s v="Jean"/>
    <n v="3448"/>
    <s v="DIR"/>
    <x v="2"/>
    <n v="7994.24"/>
    <x v="1"/>
    <d v="1965-02-17T00:00:00"/>
    <x v="0"/>
    <x v="0"/>
  </r>
  <r>
    <n v="1327"/>
    <s v="GIRON"/>
    <s v="Anne-Marie"/>
    <n v="3085"/>
    <s v="FIN"/>
    <x v="2"/>
    <n v="18874.39"/>
    <x v="0"/>
    <d v="1959-09-12T00:00:00"/>
    <x v="10"/>
    <x v="2"/>
  </r>
  <r>
    <n v="1159"/>
    <s v="GLYNATSIS"/>
    <s v="Hervé"/>
    <n v="3679"/>
    <s v="TECH"/>
    <x v="2"/>
    <n v="17751.490000000002"/>
    <x v="0"/>
    <d v="1973-08-30T00:00:00"/>
    <x v="5"/>
    <x v="1"/>
  </r>
  <r>
    <n v="1361"/>
    <s v="GONDOUIN"/>
    <s v="Bernard"/>
    <n v="3824"/>
    <s v="TECH"/>
    <x v="2"/>
    <n v="13583.54"/>
    <x v="1"/>
    <d v="1958-08-08T00:00:00"/>
    <x v="9"/>
    <x v="2"/>
  </r>
  <r>
    <n v="1197"/>
    <s v="GORZINSKY"/>
    <s v="Odette"/>
    <n v="3589"/>
    <s v="COM"/>
    <x v="0"/>
    <n v="19575.28"/>
    <x v="0"/>
    <d v="1972-01-14T00:00:00"/>
    <x v="15"/>
    <x v="1"/>
  </r>
  <r>
    <n v="1237"/>
    <s v="GOUILLON"/>
    <s v="Chantal"/>
    <n v="3175"/>
    <s v="TECH"/>
    <x v="2"/>
    <n v="12019.26"/>
    <x v="0"/>
    <d v="1965-02-15T00:00:00"/>
    <x v="0"/>
    <x v="0"/>
  </r>
  <r>
    <n v="1329"/>
    <s v="GOYER"/>
    <s v="Brigitte"/>
    <n v="3126"/>
    <s v="TECH"/>
    <x v="2"/>
    <n v="12104.06"/>
    <x v="0"/>
    <d v="1959-07-22T00:00:00"/>
    <x v="10"/>
    <x v="2"/>
  </r>
  <r>
    <n v="1089"/>
    <s v="GRAIN"/>
    <s v="Françoise"/>
    <n v="3151"/>
    <s v="COM"/>
    <x v="2"/>
    <n v="17112.169999999998"/>
    <x v="0"/>
    <d v="1977-08-01T00:00:00"/>
    <x v="14"/>
    <x v="5"/>
  </r>
  <r>
    <n v="1449"/>
    <s v="GUELT"/>
    <s v="Monique"/>
    <n v="3874"/>
    <s v="COM"/>
    <x v="0"/>
    <n v="16821.009999999998"/>
    <x v="0"/>
    <d v="1955-01-06T00:00:00"/>
    <x v="29"/>
    <x v="6"/>
  </r>
  <r>
    <n v="1499"/>
    <s v="GUILLE"/>
    <s v="Jean"/>
    <n v="3143"/>
    <s v="DIR"/>
    <x v="2"/>
    <n v="10597.31"/>
    <x v="1"/>
    <d v="1962-06-29T00:00:00"/>
    <x v="27"/>
    <x v="0"/>
  </r>
  <r>
    <n v="1419"/>
    <s v="GUILLET"/>
    <s v="Pascal"/>
    <n v="3636"/>
    <s v="COM"/>
    <x v="0"/>
    <n v="15882.28"/>
    <x v="1"/>
    <d v="1956-02-19T00:00:00"/>
    <x v="23"/>
    <x v="6"/>
  </r>
  <r>
    <n v="1065"/>
    <s v="GUITTON"/>
    <s v="Francis"/>
    <n v="3140"/>
    <s v="COM"/>
    <x v="2"/>
    <n v="9382.1200000000008"/>
    <x v="1"/>
    <d v="1978-10-19T00:00:00"/>
    <x v="20"/>
    <x v="5"/>
  </r>
  <r>
    <n v="1263"/>
    <s v="GUTFREUND"/>
    <s v="Dominique"/>
    <n v="3675"/>
    <s v="COM"/>
    <x v="2"/>
    <n v="7350.36"/>
    <x v="0"/>
    <d v="1962-12-03T00:00:00"/>
    <x v="27"/>
    <x v="0"/>
  </r>
  <r>
    <n v="1091"/>
    <s v="GUYOT"/>
    <s v="Pierre"/>
    <n v="3711"/>
    <s v="TECH"/>
    <x v="0"/>
    <n v="11061.89"/>
    <x v="1"/>
    <d v="1977-11-10T00:00:00"/>
    <x v="14"/>
    <x v="5"/>
  </r>
  <r>
    <n v="1421"/>
    <s v="GUYS"/>
    <s v="Emmanuel"/>
    <n v="3703"/>
    <s v="COM"/>
    <x v="2"/>
    <n v="12821.88"/>
    <x v="1"/>
    <d v="1956-02-13T00:00:00"/>
    <x v="23"/>
    <x v="6"/>
  </r>
  <r>
    <n v="1067"/>
    <s v="HABRANT"/>
    <s v="Moïse"/>
    <n v="3115"/>
    <s v="FIN"/>
    <x v="0"/>
    <n v="14977.21"/>
    <x v="1"/>
    <d v="1979-04-12T00:00:00"/>
    <x v="30"/>
    <x v="5"/>
  </r>
  <r>
    <n v="1389"/>
    <s v="HARAULT"/>
    <s v="Armelle"/>
    <n v="3078"/>
    <s v="TECH"/>
    <x v="2"/>
    <n v="12032.11"/>
    <x v="0"/>
    <d v="1957-10-11T00:00:00"/>
    <x v="22"/>
    <x v="2"/>
  </r>
  <r>
    <n v="1119"/>
    <s v="HERCLICH"/>
    <s v="Myriam"/>
    <n v="3954"/>
    <s v="TECH"/>
    <x v="0"/>
    <n v="19319.900000000001"/>
    <x v="0"/>
    <d v="1976-01-16T00:00:00"/>
    <x v="3"/>
    <x v="1"/>
  </r>
  <r>
    <n v="1517"/>
    <s v="HERMANT"/>
    <s v="Jean-Pierre"/>
    <n v="3998"/>
    <s v="COM"/>
    <x v="2"/>
    <n v="15553.04"/>
    <x v="1"/>
    <d v="1972-04-06T00:00:00"/>
    <x v="6"/>
    <x v="1"/>
  </r>
  <r>
    <n v="1533"/>
    <s v="HERSELIN"/>
    <s v="Brigitte"/>
    <n v="3991"/>
    <s v="TECH"/>
    <x v="2"/>
    <n v="8940.91"/>
    <x v="0"/>
    <d v="1970-07-21T00:00:00"/>
    <x v="7"/>
    <x v="3"/>
  </r>
  <r>
    <n v="1451"/>
    <s v="HEURAUX"/>
    <s v="Catherine"/>
    <n v="3685"/>
    <s v="TECH"/>
    <x v="2"/>
    <n v="16872.68"/>
    <x v="0"/>
    <d v="1965-08-31T00:00:00"/>
    <x v="25"/>
    <x v="0"/>
  </r>
  <r>
    <n v="1085"/>
    <s v="HUBERT"/>
    <s v="Gérard"/>
    <n v="3087"/>
    <s v="FIN"/>
    <x v="2"/>
    <n v="15624.15"/>
    <x v="1"/>
    <d v="1977-07-28T00:00:00"/>
    <x v="14"/>
    <x v="5"/>
  </r>
  <r>
    <n v="1407"/>
    <s v="HUSETOWSKI"/>
    <s v="Franca"/>
    <n v="3691"/>
    <s v="COM"/>
    <x v="2"/>
    <n v="9281.7800000000007"/>
    <x v="0"/>
    <d v="1957-04-24T00:00:00"/>
    <x v="22"/>
    <x v="2"/>
  </r>
  <r>
    <n v="1139"/>
    <s v="ILARDO"/>
    <s v="Sylvie"/>
    <n v="3071"/>
    <s v="FIN"/>
    <x v="0"/>
    <n v="19600.95"/>
    <x v="0"/>
    <d v="1974-11-06T00:00:00"/>
    <x v="1"/>
    <x v="1"/>
  </r>
  <r>
    <n v="1391"/>
    <s v="IMMEUBLE"/>
    <s v="Sylvie"/>
    <n v="3040"/>
    <s v="RECH"/>
    <x v="0"/>
    <n v="9120.66"/>
    <x v="0"/>
    <d v="1957-11-01T00:00:00"/>
    <x v="22"/>
    <x v="2"/>
  </r>
  <r>
    <n v="1227"/>
    <s v="JOLIBOIS"/>
    <s v="Michele"/>
    <n v="3022"/>
    <s v="FIN"/>
    <x v="0"/>
    <n v="19391.580000000002"/>
    <x v="0"/>
    <d v="1965-11-10T00:00:00"/>
    <x v="25"/>
    <x v="0"/>
  </r>
  <r>
    <n v="1049"/>
    <s v="JOLY"/>
    <s v="Daniel"/>
    <n v="3156"/>
    <s v="COM"/>
    <x v="2"/>
    <n v="19579.900000000001"/>
    <x v="1"/>
    <d v="1981-01-03T00:00:00"/>
    <x v="19"/>
    <x v="5"/>
  </r>
  <r>
    <n v="1069"/>
    <s v="JUDITH"/>
    <s v="Marie-Hélène"/>
    <n v="3070"/>
    <s v="FIN"/>
    <x v="2"/>
    <n v="12355.29"/>
    <x v="0"/>
    <d v="1978-08-19T00:00:00"/>
    <x v="20"/>
    <x v="5"/>
  </r>
  <r>
    <n v="1429"/>
    <s v="KAC"/>
    <s v="Christine"/>
    <n v="3169"/>
    <s v="COM"/>
    <x v="2"/>
    <n v="9497.1200000000008"/>
    <x v="0"/>
    <d v="1955-10-24T00:00:00"/>
    <x v="23"/>
    <x v="6"/>
  </r>
  <r>
    <n v="1161"/>
    <s v="KARSENTY"/>
    <s v="Christian"/>
    <n v="3248"/>
    <s v="TECH"/>
    <x v="2"/>
    <n v="6393.8"/>
    <x v="1"/>
    <d v="1973-08-10T00:00:00"/>
    <x v="5"/>
    <x v="1"/>
  </r>
  <r>
    <n v="1103"/>
    <s v="KILBURG"/>
    <s v="Sylvie"/>
    <n v="3593"/>
    <s v="FIN"/>
    <x v="0"/>
    <n v="19359.349999999999"/>
    <x v="0"/>
    <d v="1976-07-28T00:00:00"/>
    <x v="26"/>
    <x v="5"/>
  </r>
  <r>
    <n v="1121"/>
    <s v="KONGOLO"/>
    <s v="Bernard"/>
    <n v="3144"/>
    <s v="TECH"/>
    <x v="2"/>
    <n v="6664.93"/>
    <x v="1"/>
    <d v="1976-03-06T00:00:00"/>
    <x v="3"/>
    <x v="1"/>
  </r>
  <r>
    <n v="1295"/>
    <s v="KRIEF"/>
    <s v="Arlette"/>
    <n v="3676"/>
    <s v="TECH"/>
    <x v="2"/>
    <n v="14470.6"/>
    <x v="0"/>
    <d v="1961-05-25T00:00:00"/>
    <x v="8"/>
    <x v="0"/>
  </r>
  <r>
    <n v="1031"/>
    <s v="KTORZA"/>
    <s v="Juliette"/>
    <n v="3056"/>
    <s v="TECH"/>
    <x v="2"/>
    <n v="12173.67"/>
    <x v="0"/>
    <d v="1982-08-28T00:00:00"/>
    <x v="21"/>
    <x v="4"/>
  </r>
  <r>
    <n v="1041"/>
    <s v="LACHAUSSÉE"/>
    <s v="Annie"/>
    <n v="3668"/>
    <s v="COM"/>
    <x v="2"/>
    <n v="8908.85"/>
    <x v="0"/>
    <d v="1982-03-05T00:00:00"/>
    <x v="28"/>
    <x v="4"/>
  </r>
  <r>
    <n v="1363"/>
    <s v="LACIRE"/>
    <s v="Vincent"/>
    <n v="3607"/>
    <s v="TECH"/>
    <x v="3"/>
    <n v="16977.18"/>
    <x v="1"/>
    <d v="1958-11-02T00:00:00"/>
    <x v="9"/>
    <x v="2"/>
  </r>
  <r>
    <n v="1365"/>
    <s v="LADD"/>
    <s v="Claude"/>
    <n v="3130"/>
    <s v="COM"/>
    <x v="2"/>
    <n v="10777.4"/>
    <x v="0"/>
    <d v="1959-05-02T00:00:00"/>
    <x v="10"/>
    <x v="2"/>
  </r>
  <r>
    <n v="1057"/>
    <s v="LAIGUILLON"/>
    <s v="Michelle"/>
    <n v="3551"/>
    <s v="TECH"/>
    <x v="0"/>
    <n v="19750.150000000001"/>
    <x v="0"/>
    <d v="1979-07-17T00:00:00"/>
    <x v="30"/>
    <x v="5"/>
  </r>
  <r>
    <n v="1367"/>
    <s v="LAM"/>
    <s v="Pierrette"/>
    <n v="3718"/>
    <s v="TECH"/>
    <x v="0"/>
    <n v="7896.74"/>
    <x v="0"/>
    <d v="1959-03-02T00:00:00"/>
    <x v="9"/>
    <x v="2"/>
  </r>
  <r>
    <n v="1253"/>
    <s v="LAMBERT"/>
    <s v="Géneviéve"/>
    <n v="3153"/>
    <s v="COM"/>
    <x v="2"/>
    <n v="11098.92"/>
    <x v="0"/>
    <d v="1963-10-31T00:00:00"/>
    <x v="2"/>
    <x v="0"/>
  </r>
  <r>
    <n v="1141"/>
    <s v="LANLO"/>
    <s v="Catherine"/>
    <n v="3695"/>
    <s v="TECH"/>
    <x v="2"/>
    <n v="8053.04"/>
    <x v="0"/>
    <d v="1975-03-31T00:00:00"/>
    <x v="3"/>
    <x v="1"/>
  </r>
  <r>
    <n v="1535"/>
    <s v="LAUB"/>
    <s v="Nicole"/>
    <n v="3733"/>
    <s v="COM"/>
    <x v="0"/>
    <n v="12040.29"/>
    <x v="0"/>
    <d v="1971-01-11T00:00:00"/>
    <x v="7"/>
    <x v="3"/>
  </r>
  <r>
    <n v="1453"/>
    <s v="LE BARBANCHON"/>
    <s v="Jeanine"/>
    <n v="3590"/>
    <s v="COM"/>
    <x v="2"/>
    <n v="20843.810000000001"/>
    <x v="0"/>
    <d v="1965-10-15T00:00:00"/>
    <x v="25"/>
    <x v="0"/>
  </r>
  <r>
    <n v="1163"/>
    <s v="LE HYARIC"/>
    <s v="Marie-Hélène"/>
    <n v="3703"/>
    <s v="TECH"/>
    <x v="2"/>
    <n v="15660.05"/>
    <x v="0"/>
    <d v="1973-10-25T00:00:00"/>
    <x v="5"/>
    <x v="1"/>
  </r>
  <r>
    <n v="1509"/>
    <s v="LE LOCH"/>
    <s v="Nicole"/>
    <n v="3104"/>
    <s v="COM"/>
    <x v="0"/>
    <n v="20559.25"/>
    <x v="0"/>
    <d v="1972-07-18T00:00:00"/>
    <x v="6"/>
    <x v="1"/>
  </r>
  <r>
    <n v="1455"/>
    <s v="LE PREVOST"/>
    <s v="Giséle"/>
    <n v="3204"/>
    <s v="COM"/>
    <x v="2"/>
    <n v="20254.84"/>
    <x v="0"/>
    <d v="1955-03-23T00:00:00"/>
    <x v="23"/>
    <x v="6"/>
  </r>
  <r>
    <n v="1501"/>
    <s v="LEBAS"/>
    <s v="Eliane"/>
    <n v="3105"/>
    <s v="COM"/>
    <x v="2"/>
    <n v="15522.69"/>
    <x v="0"/>
    <d v="1973-08-02T00:00:00"/>
    <x v="5"/>
    <x v="1"/>
  </r>
  <r>
    <n v="1265"/>
    <s v="LEBRETON"/>
    <s v="Olivier"/>
    <n v="3124"/>
    <s v="FIN"/>
    <x v="0"/>
    <n v="7046.35"/>
    <x v="1"/>
    <d v="1962-08-28T00:00:00"/>
    <x v="27"/>
    <x v="0"/>
  </r>
  <r>
    <n v="1267"/>
    <s v="LEDOUX"/>
    <s v="Madeleine"/>
    <n v="3722"/>
    <s v="TECH"/>
    <x v="2"/>
    <n v="6483.13"/>
    <x v="0"/>
    <d v="1962-06-23T00:00:00"/>
    <x v="27"/>
    <x v="0"/>
  </r>
  <r>
    <n v="1093"/>
    <s v="LEE"/>
    <s v="Monique"/>
    <n v="3055"/>
    <s v="FIN"/>
    <x v="0"/>
    <n v="10388.879999999999"/>
    <x v="0"/>
    <d v="1977-09-21T00:00:00"/>
    <x v="14"/>
    <x v="5"/>
  </r>
  <r>
    <n v="1095"/>
    <s v="LEFORT"/>
    <s v="Françoise"/>
    <n v="3164"/>
    <s v="COM"/>
    <x v="2"/>
    <n v="13944.55"/>
    <x v="0"/>
    <d v="1977-07-12T00:00:00"/>
    <x v="14"/>
    <x v="5"/>
  </r>
  <r>
    <n v="1105"/>
    <s v="LEGRAND"/>
    <s v="Stéphane"/>
    <n v="3136"/>
    <s v="RECH"/>
    <x v="0"/>
    <n v="17577.900000000001"/>
    <x v="1"/>
    <d v="1976-08-02T00:00:00"/>
    <x v="26"/>
    <x v="5"/>
  </r>
  <r>
    <n v="1215"/>
    <s v="LEKA"/>
    <s v="Bernadette"/>
    <n v="3010"/>
    <s v="TECH"/>
    <x v="2"/>
    <n v="15723.23"/>
    <x v="0"/>
    <d v="1968-08-24T00:00:00"/>
    <x v="11"/>
    <x v="3"/>
  </r>
  <r>
    <n v="1409"/>
    <s v="LEMAIRE"/>
    <s v="Philippe"/>
    <n v="3626"/>
    <s v="COM"/>
    <x v="0"/>
    <n v="17363.88"/>
    <x v="1"/>
    <d v="1957-02-08T00:00:00"/>
    <x v="16"/>
    <x v="2"/>
  </r>
  <r>
    <n v="1051"/>
    <s v="LEMARIÉ"/>
    <s v="Hervé"/>
    <n v="3037"/>
    <s v="DIR"/>
    <x v="2"/>
    <n v="10931.05"/>
    <x v="1"/>
    <d v="1981-03-24T00:00:00"/>
    <x v="28"/>
    <x v="4"/>
  </r>
  <r>
    <n v="1289"/>
    <s v="LÉVY"/>
    <s v="Denise"/>
    <n v="3844"/>
    <s v="COM"/>
    <x v="2"/>
    <n v="17045.2"/>
    <x v="0"/>
    <d v="1962-05-27T00:00:00"/>
    <x v="27"/>
    <x v="0"/>
  </r>
  <r>
    <n v="1053"/>
    <s v="LOBJOY"/>
    <s v="Patrick"/>
    <n v="3063"/>
    <s v="COM"/>
    <x v="0"/>
    <n v="10993.25"/>
    <x v="1"/>
    <d v="1980-12-08T00:00:00"/>
    <x v="19"/>
    <x v="5"/>
  </r>
  <r>
    <n v="1537"/>
    <s v="LOUAPRE"/>
    <s v="Louisette"/>
    <n v="3135"/>
    <s v="FIN"/>
    <x v="0"/>
    <n v="19057.96"/>
    <x v="0"/>
    <d v="1970-10-05T00:00:00"/>
    <x v="7"/>
    <x v="3"/>
  </r>
  <r>
    <n v="1123"/>
    <s v="LY"/>
    <s v="Jean-Claude"/>
    <n v="3123"/>
    <s v="DIR"/>
    <x v="0"/>
    <n v="13834.66"/>
    <x v="1"/>
    <d v="1975-07-08T00:00:00"/>
    <x v="3"/>
    <x v="1"/>
  </r>
  <r>
    <n v="1331"/>
    <s v="MARECHAL"/>
    <s v="Géneviéve"/>
    <n v="3206"/>
    <s v="COM"/>
    <x v="2"/>
    <n v="8845.89"/>
    <x v="0"/>
    <d v="1959-09-24T00:00:00"/>
    <x v="10"/>
    <x v="2"/>
  </r>
  <r>
    <n v="1269"/>
    <s v="MARINIER"/>
    <s v="Marcel"/>
    <n v="3131"/>
    <s v="TECH"/>
    <x v="2"/>
    <n v="16387.22"/>
    <x v="1"/>
    <d v="1962-10-23T00:00:00"/>
    <x v="27"/>
    <x v="0"/>
  </r>
  <r>
    <n v="1431"/>
    <s v="MARINIER"/>
    <s v="Christiane"/>
    <n v="3986"/>
    <s v="TECH"/>
    <x v="2"/>
    <n v="18328.28"/>
    <x v="0"/>
    <d v="1955-12-26T00:00:00"/>
    <x v="23"/>
    <x v="6"/>
  </r>
  <r>
    <n v="1369"/>
    <s v="MARQUEZ"/>
    <s v="Marie-Cecile"/>
    <n v="3626"/>
    <s v="FIN"/>
    <x v="0"/>
    <n v="20196.169999999998"/>
    <x v="0"/>
    <d v="1959-01-14T00:00:00"/>
    <x v="9"/>
    <x v="2"/>
  </r>
  <r>
    <n v="1371"/>
    <s v="MARTAUD"/>
    <s v="Daniel"/>
    <n v="3086"/>
    <s v="TECH"/>
    <x v="2"/>
    <n v="7095.37"/>
    <x v="1"/>
    <d v="1959-01-20T00:00:00"/>
    <x v="9"/>
    <x v="2"/>
  </r>
  <r>
    <n v="1187"/>
    <s v="MARTEL"/>
    <s v="Jean-Claude"/>
    <n v="3591"/>
    <s v="DIR"/>
    <x v="0"/>
    <n v="12927.11"/>
    <x v="1"/>
    <d v="1973-03-29T00:00:00"/>
    <x v="5"/>
    <x v="1"/>
  </r>
  <r>
    <n v="1205"/>
    <s v="MARTI"/>
    <s v="Anne"/>
    <n v="3596"/>
    <s v="COM"/>
    <x v="1"/>
    <n v="19755.02"/>
    <x v="0"/>
    <d v="1970-07-20T00:00:00"/>
    <x v="7"/>
    <x v="3"/>
  </r>
  <r>
    <n v="1033"/>
    <s v="MARTIN"/>
    <s v="Laurent"/>
    <n v="3638"/>
    <s v="DIR"/>
    <x v="3"/>
    <n v="6838.16"/>
    <x v="1"/>
    <d v="1983-02-14T00:00:00"/>
    <x v="21"/>
    <x v="4"/>
  </r>
  <r>
    <n v="1457"/>
    <s v="MARTIN"/>
    <s v="France"/>
    <n v="3913"/>
    <s v="COM"/>
    <x v="2"/>
    <n v="7369.79"/>
    <x v="0"/>
    <d v="1955-03-29T00:00:00"/>
    <x v="23"/>
    <x v="6"/>
  </r>
  <r>
    <n v="1519"/>
    <s v="MARTIN"/>
    <s v="Franz"/>
    <n v="3120"/>
    <s v="COM"/>
    <x v="2"/>
    <n v="11838.84"/>
    <x v="1"/>
    <d v="1971-12-14T00:00:00"/>
    <x v="15"/>
    <x v="1"/>
  </r>
  <r>
    <n v="1585"/>
    <s v="MARTIN"/>
    <s v="Jacqueline"/>
    <n v="3943"/>
    <s v="FIN"/>
    <x v="2"/>
    <n v="12769.41"/>
    <x v="0"/>
    <d v="1963-10-30T00:00:00"/>
    <x v="2"/>
    <x v="0"/>
  </r>
  <r>
    <n v="1199"/>
    <s v="MECHARD"/>
    <s v="Véronique"/>
    <n v="3611"/>
    <s v="TECH"/>
    <x v="3"/>
    <n v="20879.54"/>
    <x v="0"/>
    <d v="1971-06-06T00:00:00"/>
    <x v="15"/>
    <x v="1"/>
  </r>
  <r>
    <n v="1561"/>
    <s v="MERCIER"/>
    <s v="Evelyne"/>
    <n v="3117"/>
    <s v="FIN"/>
    <x v="2"/>
    <n v="20701.900000000001"/>
    <x v="0"/>
    <d v="1969-03-07T00:00:00"/>
    <x v="11"/>
    <x v="3"/>
  </r>
  <r>
    <n v="1491"/>
    <s v="MERLAUD"/>
    <s v="Jacqueline"/>
    <n v="3057"/>
    <s v="FIN"/>
    <x v="2"/>
    <n v="6571.47"/>
    <x v="0"/>
    <d v="1964-04-29T00:00:00"/>
    <x v="0"/>
    <x v="0"/>
  </r>
  <r>
    <n v="1393"/>
    <s v="MESROBIAN"/>
    <s v="Joël"/>
    <n v="3154"/>
    <s v="COM"/>
    <x v="2"/>
    <n v="7210.55"/>
    <x v="1"/>
    <d v="1957-06-30T00:00:00"/>
    <x v="22"/>
    <x v="2"/>
  </r>
  <r>
    <n v="1433"/>
    <s v="MIANET"/>
    <s v="Marie-Thérése"/>
    <n v="3148"/>
    <s v="DIR"/>
    <x v="0"/>
    <n v="6218.73"/>
    <x v="0"/>
    <d v="1956-02-04T00:00:00"/>
    <x v="23"/>
    <x v="6"/>
  </r>
  <r>
    <n v="1521"/>
    <s v="MIANET"/>
    <s v="Georges"/>
    <n v="3110"/>
    <s v="TECH"/>
    <x v="2"/>
    <n v="18009.169999999998"/>
    <x v="1"/>
    <d v="1971-09-10T00:00:00"/>
    <x v="15"/>
    <x v="1"/>
  </r>
  <r>
    <n v="1219"/>
    <s v="MICELI"/>
    <s v="Stéphane"/>
    <n v="3588"/>
    <s v="RECH"/>
    <x v="0"/>
    <n v="15276.08"/>
    <x v="1"/>
    <d v="1967-11-12T00:00:00"/>
    <x v="18"/>
    <x v="3"/>
  </r>
  <r>
    <n v="1297"/>
    <s v="MILLET"/>
    <s v="Pasquale"/>
    <n v="3618"/>
    <s v="COM"/>
    <x v="0"/>
    <n v="12358.23"/>
    <x v="1"/>
    <d v="1960-07-12T00:00:00"/>
    <x v="4"/>
    <x v="2"/>
  </r>
  <r>
    <n v="1299"/>
    <s v="MOINARD"/>
    <s v="Loïc"/>
    <n v="3150"/>
    <s v="COM"/>
    <x v="2"/>
    <n v="11180.79"/>
    <x v="1"/>
    <d v="1961-05-11T00:00:00"/>
    <x v="8"/>
    <x v="0"/>
  </r>
  <r>
    <n v="1395"/>
    <s v="MOITA"/>
    <s v="Jeanne-Marie"/>
    <n v="3626"/>
    <s v="FIN"/>
    <x v="2"/>
    <n v="10000"/>
    <x v="0"/>
    <d v="1957-10-18T00:00:00"/>
    <x v="22"/>
    <x v="2"/>
  </r>
  <r>
    <n v="1435"/>
    <s v="MONTFORT"/>
    <s v="Huong"/>
    <n v="3584"/>
    <s v="DIR"/>
    <x v="3"/>
    <n v="11561.13"/>
    <x v="1"/>
    <d v="1956-01-06T00:00:00"/>
    <x v="23"/>
    <x v="6"/>
  </r>
  <r>
    <n v="1587"/>
    <s v="NAIMI"/>
    <s v="Chantal"/>
    <n v="3644"/>
    <s v="TECH"/>
    <x v="2"/>
    <n v="8322.5400000000009"/>
    <x v="0"/>
    <d v="1963-04-26T00:00:00"/>
    <x v="2"/>
    <x v="0"/>
  </r>
  <r>
    <n v="1021"/>
    <s v="NICOLLE"/>
    <s v="Françoise"/>
    <n v="3032"/>
    <s v="COM"/>
    <x v="2"/>
    <n v="14569.63"/>
    <x v="0"/>
    <d v="1985-10-04T00:00:00"/>
    <x v="31"/>
    <x v="4"/>
  </r>
  <r>
    <n v="1333"/>
    <s v="OBEL"/>
    <s v="Rolande"/>
    <n v="3723"/>
    <s v="FIN"/>
    <x v="0"/>
    <n v="10022.629999999999"/>
    <x v="0"/>
    <d v="1960-01-22T00:00:00"/>
    <x v="10"/>
    <x v="2"/>
  </r>
  <r>
    <n v="1397"/>
    <s v="OCLOO"/>
    <s v="Thérése"/>
    <n v="3067"/>
    <s v="FIN"/>
    <x v="0"/>
    <n v="20409.72"/>
    <x v="0"/>
    <d v="1957-09-28T00:00:00"/>
    <x v="22"/>
    <x v="2"/>
  </r>
  <r>
    <n v="1373"/>
    <s v="ONG"/>
    <s v="Daniel"/>
    <n v="3764"/>
    <s v="TECH"/>
    <x v="2"/>
    <n v="18798.93"/>
    <x v="1"/>
    <d v="1958-10-03T00:00:00"/>
    <x v="9"/>
    <x v="2"/>
  </r>
  <r>
    <n v="1125"/>
    <s v="PARINET"/>
    <s v="Jean-Louis"/>
    <n v="3881"/>
    <s v="TECH"/>
    <x v="2"/>
    <n v="6508.08"/>
    <x v="1"/>
    <d v="1975-06-30T00:00:00"/>
    <x v="3"/>
    <x v="1"/>
  </r>
  <r>
    <n v="1217"/>
    <s v="PARTOUCHE"/>
    <s v="Robert"/>
    <n v="3670"/>
    <s v="RECH"/>
    <x v="0"/>
    <n v="19004.669999999998"/>
    <x v="1"/>
    <d v="1968-09-09T00:00:00"/>
    <x v="11"/>
    <x v="3"/>
  </r>
  <r>
    <n v="1255"/>
    <s v="PAVARD"/>
    <s v="Annie"/>
    <n v="3073"/>
    <s v="TECH"/>
    <x v="2"/>
    <n v="16991.62"/>
    <x v="0"/>
    <d v="1963-07-28T00:00:00"/>
    <x v="2"/>
    <x v="0"/>
  </r>
  <r>
    <n v="1399"/>
    <s v="PEDRO"/>
    <s v="Francis"/>
    <n v="3630"/>
    <s v="COM"/>
    <x v="2"/>
    <n v="11567.12"/>
    <x v="1"/>
    <d v="1958-03-28T00:00:00"/>
    <x v="9"/>
    <x v="2"/>
  </r>
  <r>
    <n v="1271"/>
    <s v="PENALVA"/>
    <s v="Isabelle"/>
    <n v="3413"/>
    <s v="DIR"/>
    <x v="3"/>
    <n v="17832.099999999999"/>
    <x v="0"/>
    <d v="1962-11-21T00:00:00"/>
    <x v="27"/>
    <x v="0"/>
  </r>
  <r>
    <n v="1411"/>
    <s v="PERFETTO"/>
    <s v="Pascal"/>
    <n v="3420"/>
    <s v="COM"/>
    <x v="0"/>
    <n v="18024.310000000001"/>
    <x v="1"/>
    <d v="1956-11-03T00:00:00"/>
    <x v="16"/>
    <x v="2"/>
  </r>
  <r>
    <n v="1165"/>
    <s v="PERRUCHON"/>
    <s v="Fabrice"/>
    <n v="3128"/>
    <s v="COM"/>
    <x v="2"/>
    <n v="7233.96"/>
    <x v="1"/>
    <d v="1973-08-12T00:00:00"/>
    <x v="5"/>
    <x v="1"/>
  </r>
  <r>
    <n v="1579"/>
    <s v="PESNOT"/>
    <s v="Laurent"/>
    <n v="3142"/>
    <s v="COM"/>
    <x v="2"/>
    <n v="7939.64"/>
    <x v="1"/>
    <d v="1966-11-19T00:00:00"/>
    <x v="12"/>
    <x v="3"/>
  </r>
  <r>
    <n v="1071"/>
    <s v="PIDERIT"/>
    <s v="Claude"/>
    <n v="3552"/>
    <s v="TECH"/>
    <x v="2"/>
    <n v="19955.68"/>
    <x v="0"/>
    <d v="1978-06-07T00:00:00"/>
    <x v="20"/>
    <x v="5"/>
  </r>
  <r>
    <n v="1059"/>
    <s v="POINSOT"/>
    <s v="Pierre"/>
    <n v="3409"/>
    <s v="TECH"/>
    <x v="0"/>
    <n v="12926.92"/>
    <x v="1"/>
    <d v="1979-07-25T00:00:00"/>
    <x v="30"/>
    <x v="5"/>
  </r>
  <r>
    <n v="1459"/>
    <s v="POISSON"/>
    <s v="Daniel"/>
    <n v="3733"/>
    <s v="TECH"/>
    <x v="2"/>
    <n v="9660.0300000000007"/>
    <x v="1"/>
    <d v="1965-08-04T00:00:00"/>
    <x v="25"/>
    <x v="0"/>
  </r>
  <r>
    <n v="1273"/>
    <s v="PONTALIER"/>
    <s v="Thierry"/>
    <n v="3765"/>
    <s v="TECH"/>
    <x v="0"/>
    <n v="8360.74"/>
    <x v="1"/>
    <d v="1962-09-18T00:00:00"/>
    <x v="27"/>
    <x v="0"/>
  </r>
  <r>
    <n v="1503"/>
    <s v="POTRIQUET"/>
    <s v="Claudette"/>
    <n v="3139"/>
    <s v="COM"/>
    <x v="2"/>
    <n v="13405.46"/>
    <x v="0"/>
    <d v="1963-02-28T00:00:00"/>
    <x v="27"/>
    <x v="0"/>
  </r>
  <r>
    <n v="1301"/>
    <s v="POUYADOU"/>
    <s v="Josette"/>
    <n v="3015"/>
    <s v="FIN"/>
    <x v="2"/>
    <n v="18220.09"/>
    <x v="0"/>
    <d v="1960-06-29T00:00:00"/>
    <x v="4"/>
    <x v="2"/>
  </r>
  <r>
    <n v="1461"/>
    <s v="PUAULT"/>
    <s v="Françoise"/>
    <n v="3103"/>
    <s v="COM"/>
    <x v="2"/>
    <n v="14369.68"/>
    <x v="0"/>
    <d v="1955-04-13T00:00:00"/>
    <x v="23"/>
    <x v="6"/>
  </r>
  <r>
    <n v="1167"/>
    <s v="QUINTIN"/>
    <s v="Martine"/>
    <n v="3083"/>
    <s v="TECH"/>
    <x v="0"/>
    <n v="7716.69"/>
    <x v="0"/>
    <d v="1974-03-05T00:00:00"/>
    <x v="5"/>
    <x v="1"/>
  </r>
  <r>
    <n v="1437"/>
    <s v="RAGEUL"/>
    <s v="Marielle"/>
    <n v="3917"/>
    <s v="DIR"/>
    <x v="0"/>
    <n v="7134.87"/>
    <x v="0"/>
    <d v="1955-07-24T00:00:00"/>
    <x v="23"/>
    <x v="6"/>
  </r>
  <r>
    <n v="1291"/>
    <s v="RAMBEAUD"/>
    <s v="Christian"/>
    <n v="3198"/>
    <s v="COM"/>
    <x v="2"/>
    <n v="18971.62"/>
    <x v="1"/>
    <d v="1961-06-16T00:00:00"/>
    <x v="8"/>
    <x v="0"/>
  </r>
  <r>
    <n v="1463"/>
    <s v="RAMOND"/>
    <s v="Vincent"/>
    <n v="3092"/>
    <s v="TECH"/>
    <x v="3"/>
    <n v="8435.25"/>
    <x v="1"/>
    <d v="1954-06-24T00:00:00"/>
    <x v="29"/>
    <x v="6"/>
  </r>
  <r>
    <n v="1061"/>
    <s v="RAMOS"/>
    <s v="Yvan"/>
    <n v="3703"/>
    <s v="TECH"/>
    <x v="3"/>
    <n v="15720.31"/>
    <x v="1"/>
    <d v="1979-08-16T00:00:00"/>
    <x v="30"/>
    <x v="5"/>
  </r>
  <r>
    <n v="1465"/>
    <s v="REBY-FAYARD"/>
    <s v="Luc"/>
    <n v="3004"/>
    <s v="FIN"/>
    <x v="2"/>
    <n v="12343.81"/>
    <x v="1"/>
    <d v="1955-05-09T00:00:00"/>
    <x v="23"/>
    <x v="6"/>
  </r>
  <r>
    <n v="1439"/>
    <s v="REMUND"/>
    <s v="Marie-Marthe"/>
    <n v="3182"/>
    <s v="DIR"/>
    <x v="0"/>
    <n v="8778.02"/>
    <x v="0"/>
    <d v="1956-03-31T00:00:00"/>
    <x v="16"/>
    <x v="2"/>
  </r>
  <r>
    <n v="1335"/>
    <s v="RENIER"/>
    <s v="Monique"/>
    <n v="3208"/>
    <s v="TECH"/>
    <x v="0"/>
    <n v="6385.74"/>
    <x v="0"/>
    <d v="1960-01-26T00:00:00"/>
    <x v="10"/>
    <x v="2"/>
  </r>
  <r>
    <n v="1401"/>
    <s v="REVERDITO"/>
    <s v="Marie-Jeanne"/>
    <n v="3125"/>
    <s v="FIN"/>
    <x v="2"/>
    <n v="9679.08"/>
    <x v="0"/>
    <d v="1957-10-04T00:00:00"/>
    <x v="22"/>
    <x v="2"/>
  </r>
  <r>
    <n v="1143"/>
    <s v="RIDEAU"/>
    <s v="Paul"/>
    <n v="3174"/>
    <s v="COM"/>
    <x v="0"/>
    <n v="17070.91"/>
    <x v="1"/>
    <d v="1975-04-24T00:00:00"/>
    <x v="3"/>
    <x v="1"/>
  </r>
  <r>
    <n v="1511"/>
    <s v="RIEGERT"/>
    <s v="Raymonde"/>
    <n v="3079"/>
    <s v="TECH"/>
    <x v="0"/>
    <n v="16712.830000000002"/>
    <x v="0"/>
    <d v="1972-06-25T00:00:00"/>
    <x v="6"/>
    <x v="1"/>
  </r>
  <r>
    <n v="1505"/>
    <s v="RIESI"/>
    <s v="François"/>
    <n v="3629"/>
    <s v="COM"/>
    <x v="2"/>
    <n v="17492.509999999998"/>
    <x v="1"/>
    <d v="1963-05-04T00:00:00"/>
    <x v="2"/>
    <x v="0"/>
  </r>
  <r>
    <n v="1107"/>
    <s v="ROBERT"/>
    <s v="Marie-Josée"/>
    <n v="3017"/>
    <s v="TECH"/>
    <x v="2"/>
    <n v="16624.86"/>
    <x v="0"/>
    <d v="1976-10-11T00:00:00"/>
    <x v="26"/>
    <x v="5"/>
  </r>
  <r>
    <n v="1275"/>
    <s v="ROBERT"/>
    <s v="Viviane"/>
    <n v="3531"/>
    <s v="TECH"/>
    <x v="3"/>
    <n v="9896.7099999999991"/>
    <x v="0"/>
    <d v="1962-12-18T00:00:00"/>
    <x v="27"/>
    <x v="0"/>
  </r>
  <r>
    <n v="1477"/>
    <s v="RODIER"/>
    <s v="Régis"/>
    <n v="3916"/>
    <s v="FIN"/>
    <x v="0"/>
    <n v="7451.7"/>
    <x v="1"/>
    <d v="1964-09-04T00:00:00"/>
    <x v="0"/>
    <x v="0"/>
  </r>
  <r>
    <n v="1127"/>
    <s v="ROGUET"/>
    <s v="Daniel"/>
    <n v="3166"/>
    <s v="FIN"/>
    <x v="2"/>
    <n v="15966.44"/>
    <x v="1"/>
    <d v="1975-07-04T00:00:00"/>
    <x v="3"/>
    <x v="1"/>
  </r>
  <r>
    <n v="1257"/>
    <s v="ROLLAIS-LARROUSSE"/>
    <s v="Colette"/>
    <n v="3663"/>
    <s v="FIN"/>
    <x v="2"/>
    <n v="14593.66"/>
    <x v="0"/>
    <d v="1963-06-03T00:00:00"/>
    <x v="2"/>
    <x v="0"/>
  </r>
  <r>
    <n v="1097"/>
    <s v="ROLLAND"/>
    <s v="Nathalie"/>
    <n v="3077"/>
    <s v="COM"/>
    <x v="0"/>
    <n v="17496.3"/>
    <x v="0"/>
    <d v="1977-12-09T00:00:00"/>
    <x v="14"/>
    <x v="5"/>
  </r>
  <r>
    <n v="1337"/>
    <s v="ROSAR"/>
    <s v="Georgette"/>
    <n v="3121"/>
    <s v="COM"/>
    <x v="2"/>
    <n v="13725.44"/>
    <x v="0"/>
    <d v="1959-12-06T00:00:00"/>
    <x v="10"/>
    <x v="2"/>
  </r>
  <r>
    <n v="1277"/>
    <s v="ROSSO"/>
    <s v="Robert"/>
    <n v="3165"/>
    <s v="RECH"/>
    <x v="0"/>
    <n v="8838.44"/>
    <x v="1"/>
    <d v="1963-02-10T00:00:00"/>
    <x v="27"/>
    <x v="0"/>
  </r>
  <r>
    <n v="1571"/>
    <s v="ROTENBERG"/>
    <s v="Michel"/>
    <n v="3024"/>
    <s v="TECH"/>
    <x v="0"/>
    <n v="16305.31"/>
    <x v="1"/>
    <d v="1967-12-05T00:00:00"/>
    <x v="18"/>
    <x v="3"/>
  </r>
  <r>
    <n v="1145"/>
    <s v="ROULET"/>
    <s v="Christiane"/>
    <n v="3185"/>
    <s v="TECH"/>
    <x v="2"/>
    <n v="9329.84"/>
    <x v="0"/>
    <d v="1974-10-09T00:00:00"/>
    <x v="1"/>
    <x v="1"/>
  </r>
  <r>
    <n v="1213"/>
    <s v="SAADA"/>
    <s v="Martine"/>
    <n v="3563"/>
    <s v="COM"/>
    <x v="0"/>
    <n v="10704.17"/>
    <x v="0"/>
    <d v="1969-09-12T00:00:00"/>
    <x v="17"/>
    <x v="3"/>
  </r>
  <r>
    <n v="1547"/>
    <s v="SACCHET"/>
    <s v="Marie-Thérése"/>
    <n v="3025"/>
    <s v="DIR"/>
    <x v="0"/>
    <n v="11512.82"/>
    <x v="0"/>
    <d v="1969-08-03T00:00:00"/>
    <x v="17"/>
    <x v="3"/>
  </r>
  <r>
    <n v="1109"/>
    <s v="SAILLANT"/>
    <s v="Marie-Claude"/>
    <n v="3890"/>
    <s v="FIN"/>
    <x v="2"/>
    <n v="12580.24"/>
    <x v="0"/>
    <d v="1976-08-20T00:00:00"/>
    <x v="26"/>
    <x v="5"/>
  </r>
  <r>
    <n v="1229"/>
    <s v="SAPIENCE"/>
    <s v="Alain"/>
    <n v="3035"/>
    <s v="COM"/>
    <x v="1"/>
    <n v="15484.55"/>
    <x v="1"/>
    <d v="1965-08-30T00:00:00"/>
    <x v="25"/>
    <x v="0"/>
  </r>
  <r>
    <n v="1563"/>
    <s v="SARFATI"/>
    <s v="Pascal"/>
    <n v="3963"/>
    <s v="FIN"/>
    <x v="0"/>
    <n v="6935.24"/>
    <x v="1"/>
    <d v="1969-03-15T00:00:00"/>
    <x v="17"/>
    <x v="3"/>
  </r>
  <r>
    <n v="1581"/>
    <s v="SAYAVONG"/>
    <s v="Henriette"/>
    <n v="3628"/>
    <s v="TECH"/>
    <x v="2"/>
    <n v="13718.18"/>
    <x v="0"/>
    <d v="1966-02-08T00:00:00"/>
    <x v="25"/>
    <x v="0"/>
  </r>
  <r>
    <n v="1493"/>
    <s v="SCHUSTER"/>
    <s v="Bernadette"/>
    <n v="3031"/>
    <s v="TECH"/>
    <x v="2"/>
    <n v="15577.86"/>
    <x v="0"/>
    <d v="1963-08-31T00:00:00"/>
    <x v="2"/>
    <x v="0"/>
  </r>
  <r>
    <n v="1169"/>
    <s v="SCOTTI"/>
    <s v="Georgette"/>
    <n v="3502"/>
    <s v="COM"/>
    <x v="2"/>
    <n v="14154.99"/>
    <x v="0"/>
    <d v="1974-05-10T00:00:00"/>
    <x v="1"/>
    <x v="1"/>
  </r>
  <r>
    <n v="1467"/>
    <s v="SENG"/>
    <s v="Cécile"/>
    <n v="3045"/>
    <s v="RECH"/>
    <x v="2"/>
    <n v="8306.9"/>
    <x v="0"/>
    <d v="1955-05-22T00:00:00"/>
    <x v="23"/>
    <x v="6"/>
  </r>
  <r>
    <n v="1303"/>
    <s v="SENILLE"/>
    <s v="Marthe"/>
    <n v="3160"/>
    <s v="TECH"/>
    <x v="0"/>
    <n v="15228.89"/>
    <x v="0"/>
    <d v="1960-12-13T00:00:00"/>
    <x v="4"/>
    <x v="2"/>
  </r>
  <r>
    <n v="1171"/>
    <s v="SENTEX"/>
    <s v="Stéphane"/>
    <n v="3066"/>
    <s v="RECH"/>
    <x v="0"/>
    <n v="14345.97"/>
    <x v="1"/>
    <d v="1973-08-17T00:00:00"/>
    <x v="5"/>
    <x v="1"/>
  </r>
  <r>
    <n v="1441"/>
    <s v="SINSEAU"/>
    <s v="Annie"/>
    <n v="3051"/>
    <s v="FIN"/>
    <x v="2"/>
    <n v="14415.27"/>
    <x v="0"/>
    <d v="1955-08-27T00:00:00"/>
    <x v="23"/>
    <x v="6"/>
  </r>
  <r>
    <n v="1129"/>
    <s v="SOK"/>
    <s v="Myriam"/>
    <n v="3155"/>
    <s v="FIN"/>
    <x v="0"/>
    <n v="20821.400000000001"/>
    <x v="0"/>
    <d v="1975-09-15T00:00:00"/>
    <x v="3"/>
    <x v="1"/>
  </r>
  <r>
    <n v="1339"/>
    <s v="SONG"/>
    <s v="Aline"/>
    <n v="3980"/>
    <s v="COM"/>
    <x v="1"/>
    <n v="12610.66"/>
    <x v="0"/>
    <d v="1959-09-06T00:00:00"/>
    <x v="10"/>
    <x v="2"/>
  </r>
  <r>
    <n v="1375"/>
    <s v="STOEFFLER"/>
    <s v="Jean-Marc"/>
    <n v="3624"/>
    <s v="COM"/>
    <x v="1"/>
    <n v="16065.92"/>
    <x v="1"/>
    <d v="1958-07-12T00:00:00"/>
    <x v="9"/>
    <x v="2"/>
  </r>
  <r>
    <n v="1207"/>
    <s v="SUON"/>
    <s v="William"/>
    <n v="3133"/>
    <s v="TECH"/>
    <x v="3"/>
    <n v="20500.91"/>
    <x v="1"/>
    <d v="1971-05-30T00:00:00"/>
    <x v="15"/>
    <x v="1"/>
  </r>
  <r>
    <n v="1539"/>
    <s v="SURENA"/>
    <s v="Adrienne"/>
    <n v="3569"/>
    <s v="COM"/>
    <x v="0"/>
    <n v="16564.27"/>
    <x v="0"/>
    <d v="1971-04-01T00:00:00"/>
    <x v="15"/>
    <x v="1"/>
  </r>
  <r>
    <n v="1523"/>
    <s v="TAIEB"/>
    <s v="Michel"/>
    <n v="3185"/>
    <s v="TECH"/>
    <x v="0"/>
    <n v="14950.4"/>
    <x v="1"/>
    <d v="1972-02-10T00:00:00"/>
    <x v="15"/>
    <x v="1"/>
  </r>
  <r>
    <n v="1173"/>
    <s v="TAMBURRINI"/>
    <s v="Marie-Claire"/>
    <n v="3102"/>
    <s v="TECH"/>
    <x v="2"/>
    <n v="11043.7"/>
    <x v="0"/>
    <d v="1974-05-13T00:00:00"/>
    <x v="1"/>
    <x v="1"/>
  </r>
  <r>
    <n v="1055"/>
    <s v="TAN"/>
    <s v="Joelle"/>
    <n v="3608"/>
    <s v="TECH"/>
    <x v="2"/>
    <n v="10136.040000000001"/>
    <x v="0"/>
    <d v="1980-12-18T00:00:00"/>
    <x v="19"/>
    <x v="5"/>
  </r>
  <r>
    <n v="1175"/>
    <s v="TAN"/>
    <s v="Nathalie"/>
    <n v="3733"/>
    <s v="DIR"/>
    <x v="0"/>
    <n v="12422.47"/>
    <x v="0"/>
    <d v="1974-05-03T00:00:00"/>
    <x v="1"/>
    <x v="1"/>
  </r>
  <r>
    <n v="1443"/>
    <s v="TANG"/>
    <s v="Armelle"/>
    <n v="3733"/>
    <s v="TECH"/>
    <x v="2"/>
    <n v="9210.6"/>
    <x v="0"/>
    <d v="1956-03-26T00:00:00"/>
    <x v="16"/>
    <x v="2"/>
  </r>
  <r>
    <n v="1479"/>
    <s v="TARDIF"/>
    <s v="Marie-Paule"/>
    <n v="3641"/>
    <s v="FIN"/>
    <x v="0"/>
    <n v="9252.8799999999992"/>
    <x v="0"/>
    <d v="1965-01-27T00:00:00"/>
    <x v="0"/>
    <x v="0"/>
  </r>
  <r>
    <n v="1413"/>
    <s v="THAO"/>
    <s v="Sylvain"/>
    <n v="3779"/>
    <s v="COM"/>
    <x v="0"/>
    <n v="20682.189999999999"/>
    <x v="1"/>
    <d v="1956-07-22T00:00:00"/>
    <x v="16"/>
    <x v="2"/>
  </r>
  <r>
    <n v="1279"/>
    <s v="THIAM"/>
    <s v="Anne-Marie"/>
    <n v="3019"/>
    <s v="TECH"/>
    <x v="2"/>
    <n v="7964"/>
    <x v="0"/>
    <d v="1963-03-19T00:00:00"/>
    <x v="2"/>
    <x v="0"/>
  </r>
  <r>
    <n v="1507"/>
    <s v="THOQUENNE"/>
    <s v="Lydia"/>
    <n v="3864"/>
    <s v="COM"/>
    <x v="2"/>
    <n v="7587.38"/>
    <x v="0"/>
    <d v="1963-01-09T00:00:00"/>
    <x v="27"/>
    <x v="0"/>
  </r>
  <r>
    <n v="1189"/>
    <s v="UNG"/>
    <s v="Martine"/>
    <n v="3703"/>
    <s v="TECH"/>
    <x v="0"/>
    <n v="13803.31"/>
    <x v="0"/>
    <d v="1972-12-16T00:00:00"/>
    <x v="6"/>
    <x v="1"/>
  </r>
  <r>
    <n v="1415"/>
    <s v="UNG"/>
    <s v="Janick"/>
    <n v="3982"/>
    <s v="TECH"/>
    <x v="2"/>
    <n v="10477.629999999999"/>
    <x v="0"/>
    <d v="1957-03-17T00:00:00"/>
    <x v="22"/>
    <x v="2"/>
  </r>
  <r>
    <n v="1305"/>
    <s v="VANNAXAY"/>
    <s v="Francis"/>
    <n v="3333"/>
    <s v="COM"/>
    <x v="2"/>
    <n v="18929.98"/>
    <x v="1"/>
    <d v="1960-12-30T00:00:00"/>
    <x v="4"/>
    <x v="2"/>
  </r>
  <r>
    <n v="1341"/>
    <s v="VASSEUR"/>
    <s v="Christiane"/>
    <n v="3064"/>
    <s v="TECH"/>
    <x v="2"/>
    <n v="13363.49"/>
    <x v="0"/>
    <d v="1959-10-20T00:00:00"/>
    <x v="10"/>
    <x v="2"/>
  </r>
  <r>
    <n v="1565"/>
    <s v="VIAND"/>
    <s v="Monique"/>
    <n v="3081"/>
    <s v="TECH"/>
    <x v="2"/>
    <n v="10501.25"/>
    <x v="0"/>
    <d v="1968-07-03T00:00:00"/>
    <x v="11"/>
    <x v="3"/>
  </r>
  <r>
    <n v="1573"/>
    <s v="VIDON"/>
    <s v="Marie-Louise"/>
    <n v="3018"/>
    <s v="TECH"/>
    <x v="2"/>
    <n v="10994.09"/>
    <x v="0"/>
    <d v="1967-05-02T00:00:00"/>
    <x v="18"/>
    <x v="3"/>
  </r>
  <r>
    <n v="1549"/>
    <s v="VINET"/>
    <s v="Marie-José"/>
    <n v="3559"/>
    <s v="TECH"/>
    <x v="2"/>
    <n v="19521.53"/>
    <x v="0"/>
    <d v="1970-03-08T00:00:00"/>
    <x v="17"/>
    <x v="3"/>
  </r>
  <r>
    <n v="1575"/>
    <s v="ZANOTI"/>
    <s v="Monique"/>
    <n v="3161"/>
    <s v="FIN"/>
    <x v="0"/>
    <n v="15102.11"/>
    <x v="0"/>
    <d v="1967-12-21T00:00:00"/>
    <x v="18"/>
    <x v="3"/>
  </r>
  <r>
    <n v="1541"/>
    <s v="ZAOUI"/>
    <s v="Liliane"/>
    <n v="3096"/>
    <s v="TECH"/>
    <x v="2"/>
    <n v="9091.08"/>
    <x v="0"/>
    <d v="1971-02-24T00:00:00"/>
    <x v="7"/>
    <x v="3"/>
  </r>
  <r>
    <n v="1469"/>
    <s v="ZENOU"/>
    <s v="Robert"/>
    <n v="3703"/>
    <s v="RECH"/>
    <x v="0"/>
    <n v="10962.94"/>
    <x v="1"/>
    <d v="1965-10-29T00:00:00"/>
    <x v="25"/>
    <x v="0"/>
  </r>
  <r>
    <n v="1035"/>
    <s v="ZHOU"/>
    <s v="Philippe"/>
    <n v="3585"/>
    <s v="COM"/>
    <x v="0"/>
    <n v="15235.79"/>
    <x v="1"/>
    <d v="1982-12-04T00:00:00"/>
    <x v="21"/>
    <x v="4"/>
  </r>
  <r>
    <n v="1343"/>
    <s v="ZIHOUNE"/>
    <s v="Christiane"/>
    <n v="3671"/>
    <s v="TECH"/>
    <x v="2"/>
    <n v="6664.8"/>
    <x v="0"/>
    <d v="1959-11-22T00:00:00"/>
    <x v="10"/>
    <x v="2"/>
  </r>
  <r>
    <n v="1417"/>
    <s v="ZOUC"/>
    <s v="Fred"/>
    <n v="3185"/>
    <s v="TECH"/>
    <x v="2"/>
    <n v="18203.810000000001"/>
    <x v="1"/>
    <d v="1957-03-31T00:00:00"/>
    <x v="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F420F-BF24-4199-96BA-C89B1090369A}" name="Tableau croisé dynamique48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B7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showAll="0"/>
    <pivotField numFmtId="165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Code" fld="0" subtotal="count" baseField="5" baseItem="0"/>
  </dataFields>
  <formats count="18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5" type="button" dataOnly="0" labelOnly="1" outline="0" axis="axisRow" fieldPosition="0"/>
    </format>
    <format dxfId="164">
      <pivotArea dataOnly="0" labelOnly="1" fieldPosition="0">
        <references count="1">
          <reference field="5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5" type="button" dataOnly="0" labelOnly="1" outline="0" axis="axisRow" fieldPosition="0"/>
    </format>
    <format dxfId="158">
      <pivotArea dataOnly="0" labelOnly="1" fieldPosition="0">
        <references count="1">
          <reference field="5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5" type="button" dataOnly="0" labelOnly="1" outline="0" axis="axisRow" fieldPosition="0"/>
    </format>
    <format dxfId="152">
      <pivotArea dataOnly="0" labelOnly="1" fieldPosition="0">
        <references count="1">
          <reference field="5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6105D-01C6-4E68-A65A-C56A46B81334}" name="Tableau croisé dynamique49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ite" colHeaderCaption="Filtre">
  <location ref="A2:D8" firstHeaderRow="1" firstDataRow="2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numFmtId="165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Nbre_Personne" fld="0" subtotal="count" baseField="5" baseItem="0"/>
  </dataFields>
  <formats count="22">
    <format dxfId="149">
      <pivotArea outline="0" collapsedLevelsAreSubtotals="1" fieldPosition="0"/>
    </format>
    <format dxfId="148">
      <pivotArea field="5" type="button" dataOnly="0" labelOnly="1" outline="0" axis="axisRow" fieldPosition="0"/>
    </format>
    <format dxfId="147">
      <pivotArea dataOnly="0" labelOnly="1" fieldPosition="0">
        <references count="1">
          <reference field="5" count="0"/>
        </references>
      </pivotArea>
    </format>
    <format dxfId="146">
      <pivotArea dataOnly="0" labelOnly="1" grandRow="1" outline="0" fieldPosition="0"/>
    </format>
    <format dxfId="145">
      <pivotArea dataOnly="0" labelOnly="1" fieldPosition="0">
        <references count="1">
          <reference field="7" count="0"/>
        </references>
      </pivotArea>
    </format>
    <format dxfId="144">
      <pivotArea dataOnly="0" labelOnly="1" grandCol="1" outline="0" fieldPosition="0"/>
    </format>
    <format dxfId="143">
      <pivotArea outline="0" collapsedLevelsAreSubtotals="1" fieldPosition="0"/>
    </format>
    <format dxfId="142">
      <pivotArea field="5" type="button" dataOnly="0" labelOnly="1" outline="0" axis="axisRow" fieldPosition="0"/>
    </format>
    <format dxfId="141">
      <pivotArea dataOnly="0" labelOnly="1" fieldPosition="0">
        <references count="1">
          <reference field="5" count="0"/>
        </references>
      </pivotArea>
    </format>
    <format dxfId="140">
      <pivotArea dataOnly="0" labelOnly="1" grandRow="1" outline="0" fieldPosition="0"/>
    </format>
    <format dxfId="139">
      <pivotArea dataOnly="0" labelOnly="1" fieldPosition="0">
        <references count="1">
          <reference field="7" count="0"/>
        </references>
      </pivotArea>
    </format>
    <format dxfId="138">
      <pivotArea dataOnly="0" labelOnly="1" grandCol="1" outline="0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7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5" type="button" dataOnly="0" labelOnly="1" outline="0" axis="axisRow" fieldPosition="0"/>
    </format>
    <format dxfId="131">
      <pivotArea dataOnly="0" labelOnly="1" fieldPosition="0">
        <references count="1">
          <reference field="5" count="0"/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7" count="0"/>
        </references>
      </pivotArea>
    </format>
    <format dxfId="1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0B45F-8750-4AE1-B047-4E1CCD7EA3AD}" name="Tableau croisé dynamique50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ITE">
  <location ref="A2:B7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numFmtId="164" showAll="0"/>
    <pivotField showAll="0"/>
    <pivotField numFmtId="165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_SALAIRE" fld="6" baseField="5" baseItem="0"/>
  </dataFields>
  <formats count="18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5" type="button" dataOnly="0" labelOnly="1" outline="0" axis="axisRow" fieldPosition="0"/>
    </format>
    <format dxfId="124">
      <pivotArea dataOnly="0" labelOnly="1" fieldPosition="0">
        <references count="1">
          <reference field="5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5" type="button" dataOnly="0" labelOnly="1" outline="0" axis="axisRow" fieldPosition="0"/>
    </format>
    <format dxfId="118">
      <pivotArea dataOnly="0" labelOnly="1" fieldPosition="0">
        <references count="1">
          <reference field="5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5" type="button" dataOnly="0" labelOnly="1" outline="0" axis="axisRow" fieldPosition="0"/>
    </format>
    <format dxfId="112">
      <pivotArea dataOnly="0" labelOnly="1" fieldPosition="0">
        <references count="1">
          <reference field="5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3BF8-3829-49FD-9388-EE29249089C1}" name="Tableau croisé dynamique51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ITE">
  <location ref="A2:G9" firstHeaderRow="1" firstDataRow="3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numFmtId="164" showAll="0"/>
    <pivotField axis="axisCol" showAll="0">
      <items count="3">
        <item x="0"/>
        <item x="1"/>
        <item t="default"/>
      </items>
    </pivotField>
    <pivotField numFmtId="165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_SALAIRE (€)" fld="6" baseField="5" baseItem="0"/>
    <dataField name="MOY_SALAIRE (€)" fld="6" subtotal="average" baseField="5" baseItem="0"/>
  </dataFields>
  <formats count="29">
    <format dxfId="109">
      <pivotArea outline="0" collapsedLevelsAreSubtotals="1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format>
    <format dxfId="108">
      <pivotArea outline="0" collapsedLevelsAreSubtotals="1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format>
    <format dxfId="107">
      <pivotArea field="7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06">
      <pivotArea field="5" type="button" dataOnly="0" labelOnly="1" outline="0" axis="axisRow" fieldPosition="0"/>
    </format>
    <format dxfId="105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  <format dxfId="101">
      <pivotArea field="5" type="button" dataOnly="0" labelOnly="1" outline="0" axis="axisRow" fieldPosition="0"/>
    </format>
    <format dxfId="100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9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8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  <format dxfId="96">
      <pivotArea dataOnly="0" labelOnly="1" fieldPosition="0">
        <references count="1">
          <reference field="7" count="1">
            <x v="1"/>
          </reference>
        </references>
      </pivotArea>
    </format>
    <format dxfId="95">
      <pivotArea dataOnly="0" labelOnly="1" fieldPosition="0">
        <references count="1">
          <reference field="7" count="1">
            <x v="0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7" type="button" dataOnly="0" labelOnly="1" outline="0" axis="axisCol" fieldPosition="0"/>
    </format>
    <format dxfId="90">
      <pivotArea field="-2" type="button" dataOnly="0" labelOnly="1" outline="0" axis="axisCol" fieldPosition="1"/>
    </format>
    <format dxfId="89">
      <pivotArea type="topRight" dataOnly="0" labelOnly="1" outline="0" fieldPosition="0"/>
    </format>
    <format dxfId="88">
      <pivotArea field="5" type="button" dataOnly="0" labelOnly="1" outline="0" axis="axisRow" fieldPosition="0"/>
    </format>
    <format dxfId="87">
      <pivotArea dataOnly="0" labelOnly="1" fieldPosition="0">
        <references count="1">
          <reference field="5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7" count="0"/>
        </references>
      </pivotArea>
    </format>
    <format dxfId="84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3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F0CD5-E2BD-43C8-AA00-1555027A7D29}" name="Tableau croisé dynamique52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ranche d'age" colHeaderCaption="Filtre">
  <location ref="A2:D11" firstHeaderRow="1" firstDataRow="2" firstDataCol="1"/>
  <pivotFields count="11">
    <pivotField showAll="0"/>
    <pivotField showAll="0"/>
    <pivotField showAll="0"/>
    <pivotField showAll="0"/>
    <pivotField showAll="0"/>
    <pivotField showAll="0"/>
    <pivotField dataField="1" numFmtId="164" showAll="0"/>
    <pivotField axis="axisCol" showAll="0">
      <items count="3">
        <item x="0"/>
        <item x="1"/>
        <item t="default"/>
      </items>
    </pivotField>
    <pivotField numFmtId="165" showAll="0"/>
    <pivotField showAll="0"/>
    <pivotField axis="axisRow" showAll="0">
      <items count="8">
        <item x="4"/>
        <item x="5"/>
        <item x="1"/>
        <item x="3"/>
        <item x="0"/>
        <item x="2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MOY_SALAIRE (€)" fld="6" subtotal="average" baseField="10" baseItem="0" numFmtId="2"/>
  </dataFields>
  <formats count="4">
    <format dxfId="80">
      <pivotArea outline="0" collapsedLevelsAreSubtotals="1" fieldPosition="0"/>
    </format>
    <format dxfId="79">
      <pivotArea type="all" dataOnly="0" outline="0" fieldPosition="0"/>
    </format>
    <format dxfId="78">
      <pivotArea type="all" dataOnly="0" outline="0" fieldPosition="0"/>
    </format>
    <format dxfId="7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070F3-739B-461A-908E-E908818F0885}" name="Tableau croisé dynamique53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ranche d'âge">
  <location ref="A2:E10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dataField="1" showAll="0"/>
    <pivotField axis="axisRow" showAll="0">
      <items count="8">
        <item x="4"/>
        <item x="5"/>
        <item x="1"/>
        <item x="3"/>
        <item x="0"/>
        <item x="2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bre_Personne" fld="0" subtotal="count" baseField="10" baseItem="0"/>
    <dataField name="Age_MIN" fld="9" subtotal="min" baseField="10" baseItem="0"/>
    <dataField name="Age_MAX" fld="9" subtotal="max" baseField="10" baseItem="0"/>
    <dataField name="MOY_Age" fld="9" subtotal="average" baseField="10" baseItem="0" numFmtId="1"/>
  </dataFields>
  <formats count="19">
    <format dxfId="7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5">
      <pivotArea field="1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73">
      <pivotArea field="10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">
      <pivotArea outline="0" collapsedLevelsAreSubtotals="1" fieldPosition="0"/>
    </format>
    <format dxfId="68">
      <pivotArea dataOnly="0" labelOnly="1" fieldPosition="0">
        <references count="1">
          <reference field="10" count="0"/>
        </references>
      </pivotArea>
    </format>
    <format dxfId="67">
      <pivotArea dataOnly="0" labelOnly="1" grandRow="1" outline="0" fieldPosition="0"/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0" type="button" dataOnly="0" labelOnly="1" outline="0" axis="axisRow" fieldPosition="0"/>
    </format>
    <format dxfId="60">
      <pivotArea dataOnly="0" labelOnly="1" fieldPosition="0">
        <references count="1">
          <reference field="10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B2287-2C9B-46D6-9903-1D596A1672E5}" name="Tableau croisé dynamique54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ranche d'âge" colHeaderCaption="Filtre">
  <location ref="A3:M13" firstHeaderRow="1" firstDataRow="3" firstDataCol="1"/>
  <pivotFields count="11">
    <pivotField dataField="1" showAll="0"/>
    <pivotField showAll="0"/>
    <pivotField showAll="0"/>
    <pivotField showAll="0"/>
    <pivotField showAll="0"/>
    <pivotField showAll="0"/>
    <pivotField numFmtId="164" showAll="0"/>
    <pivotField axis="axisCol" showAll="0">
      <items count="3">
        <item x="0"/>
        <item x="1"/>
        <item t="default"/>
      </items>
    </pivotField>
    <pivotField numFmtId="165" showAll="0"/>
    <pivotField dataField="1" showAll="0">
      <items count="33">
        <item x="31"/>
        <item x="13"/>
        <item x="24"/>
        <item x="21"/>
        <item x="28"/>
        <item x="19"/>
        <item x="30"/>
        <item x="20"/>
        <item x="14"/>
        <item x="26"/>
        <item x="3"/>
        <item x="1"/>
        <item x="5"/>
        <item x="6"/>
        <item x="15"/>
        <item x="7"/>
        <item x="17"/>
        <item x="11"/>
        <item x="18"/>
        <item x="12"/>
        <item x="25"/>
        <item x="0"/>
        <item x="2"/>
        <item x="27"/>
        <item x="8"/>
        <item x="4"/>
        <item x="10"/>
        <item x="9"/>
        <item x="22"/>
        <item x="16"/>
        <item x="23"/>
        <item x="29"/>
        <item t="default"/>
      </items>
    </pivotField>
    <pivotField axis="axisRow" showAll="0">
      <items count="8">
        <item x="4"/>
        <item x="5"/>
        <item x="1"/>
        <item x="3"/>
        <item x="0"/>
        <item x="2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7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Nbre_Personne" fld="0" subtotal="count" baseField="10" baseItem="0"/>
    <dataField name="Age_MIN" fld="9" subtotal="min" baseField="10" baseItem="0"/>
    <dataField name="Age_MAX" fld="9" subtotal="max" baseField="10" baseItem="0"/>
    <dataField name="MOY_Age" fld="9" subtotal="average" baseField="10" baseItem="0"/>
  </dataFields>
  <formats count="39">
    <format dxfId="57">
      <pivotArea outline="0" collapsedLevelsAreSubtotals="1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format>
    <format dxfId="56">
      <pivotArea outline="0" collapsedLevelsAreSubtotals="1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format>
    <format dxfId="55">
      <pivotArea field="7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54">
      <pivotArea type="all" dataOnly="0" outline="0" fieldPosition="0"/>
    </format>
    <format dxfId="53">
      <pivotArea type="all" dataOnly="0" outline="0" fieldPosition="0"/>
    </format>
    <format dxfId="52">
      <pivotArea dataOnly="0" labelOnly="1" fieldPosition="0">
        <references count="1">
          <reference field="7" count="1">
            <x v="0"/>
          </reference>
        </references>
      </pivotArea>
    </format>
    <format dxfId="51">
      <pivotArea dataOnly="0" labelOnly="1" fieldPosition="0">
        <references count="1">
          <reference field="7" count="1"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7" type="button" dataOnly="0" labelOnly="1" outline="0" axis="axisCol" fieldPosition="0"/>
    </format>
    <format dxfId="46">
      <pivotArea field="-2" type="button" dataOnly="0" labelOnly="1" outline="0" axis="axisCol" fieldPosition="1"/>
    </format>
    <format dxfId="45">
      <pivotArea type="topRight" dataOnly="0" labelOnly="1" outline="0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">
      <pivotArea field="7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7">
      <pivotArea field="7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3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7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7" count="1" selected="0">
            <x v="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7" type="button" dataOnly="0" labelOnly="1" outline="0" axis="axisCol" fieldPosition="0"/>
    </format>
    <format dxfId="30">
      <pivotArea field="-2" type="button" dataOnly="0" labelOnly="1" outline="0" axis="axisCol" fieldPosition="1"/>
    </format>
    <format dxfId="29">
      <pivotArea type="topRight" dataOnly="0" labelOnly="1" outline="0" fieldPosition="0"/>
    </format>
    <format dxfId="28">
      <pivotArea field="10" type="button" dataOnly="0" labelOnly="1" outline="0" axis="axisRow" fieldPosition="0"/>
    </format>
    <format dxfId="27">
      <pivotArea dataOnly="0" labelOnly="1" fieldPosition="0">
        <references count="1">
          <reference field="10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7" count="0"/>
        </references>
      </pivotArea>
    </format>
    <format dxfId="24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">
      <pivotArea field="7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1">
      <pivotArea field="7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7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E6A0E-B9C2-4E70-B973-0F7A46D0DBEC}" name="Tableau croisé dynamique55" cacheId="1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">
  <location ref="A2:E15" firstHeaderRow="0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numFmtId="165" showAll="0"/>
    <pivotField dataField="1" showAll="0"/>
    <pivotField showAll="0"/>
  </pivotFields>
  <rowFields count="2">
    <field x="5"/>
    <field x="7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bre_Personne" fld="0" subtotal="count" baseField="7" baseItem="0"/>
    <dataField name="Age_MIN" fld="9" subtotal="min" baseField="7" baseItem="0"/>
    <dataField name="Age_MAX" fld="9" subtotal="max" baseField="7" baseItem="0"/>
    <dataField name="MOY_Age" fld="9" subtotal="average" baseField="7" baseItem="0" numFmtId="1"/>
  </dataFields>
  <formats count="19">
    <format dxfId="1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1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1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1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1000"/>
  <sheetViews>
    <sheetView workbookViewId="0">
      <selection activeCell="G25" sqref="G25"/>
    </sheetView>
  </sheetViews>
  <sheetFormatPr baseColWidth="10" defaultColWidth="14.3984375" defaultRowHeight="15" customHeight="1" x14ac:dyDescent="0.3"/>
  <cols>
    <col min="1" max="26" width="10.69921875" customWidth="1"/>
  </cols>
  <sheetData>
    <row r="1" spans="1:23" ht="28.5" customHeight="1" x14ac:dyDescent="0.45">
      <c r="A1" s="38"/>
      <c r="B1" s="39"/>
      <c r="C1" s="39"/>
      <c r="D1" s="39"/>
      <c r="E1" s="39"/>
      <c r="F1" s="39"/>
      <c r="G1" s="39"/>
      <c r="H1" s="40"/>
      <c r="I1" s="1"/>
      <c r="J1" s="2"/>
      <c r="K1" s="2"/>
      <c r="L1" s="2"/>
      <c r="M1" s="2"/>
      <c r="N1" s="2"/>
      <c r="O1" s="2"/>
      <c r="P1" s="1"/>
      <c r="Q1" s="3"/>
      <c r="R1" s="3"/>
      <c r="S1" s="3"/>
      <c r="T1" s="3"/>
      <c r="U1" s="3"/>
      <c r="V1" s="3"/>
      <c r="W1" s="3"/>
    </row>
    <row r="2" spans="1:23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</row>
    <row r="3" spans="1:23" ht="12.75" customHeight="1" x14ac:dyDescent="0.3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3"/>
      <c r="S3" s="3"/>
      <c r="T3" s="3"/>
      <c r="U3" s="3"/>
      <c r="V3" s="3"/>
      <c r="W3" s="3"/>
    </row>
    <row r="4" spans="1:23" ht="12.75" customHeight="1" x14ac:dyDescent="0.3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3"/>
      <c r="T4" s="3"/>
      <c r="U4" s="3"/>
      <c r="V4" s="3"/>
      <c r="W4" s="3"/>
    </row>
    <row r="5" spans="1:23" ht="24" customHeight="1" x14ac:dyDescent="0.65">
      <c r="A5" s="1"/>
      <c r="B5" s="4"/>
      <c r="C5" s="41" t="s">
        <v>0</v>
      </c>
      <c r="D5" s="42"/>
      <c r="E5" s="42"/>
      <c r="F5" s="42"/>
      <c r="G5" s="42"/>
      <c r="H5" s="42"/>
      <c r="I5" s="42"/>
      <c r="J5" s="43"/>
      <c r="K5" s="1"/>
      <c r="L5" s="1"/>
      <c r="M5" s="1"/>
      <c r="N5" s="1"/>
      <c r="O5" s="1"/>
      <c r="P5" s="1"/>
      <c r="Q5" s="3"/>
      <c r="R5" s="3"/>
      <c r="S5" s="3"/>
      <c r="T5" s="3"/>
      <c r="U5" s="3"/>
      <c r="V5" s="3"/>
      <c r="W5" s="3"/>
    </row>
    <row r="6" spans="1:23" ht="12.75" customHeight="1" x14ac:dyDescent="0.3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</row>
    <row r="7" spans="1:23" ht="12.75" customHeight="1" x14ac:dyDescent="0.3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</row>
    <row r="8" spans="1:23" ht="12.75" customHeight="1" x14ac:dyDescent="0.3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</row>
    <row r="9" spans="1:23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</row>
    <row r="10" spans="1:23" ht="12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  <c r="R10" s="3"/>
      <c r="S10" s="3"/>
      <c r="T10" s="3"/>
      <c r="U10" s="3"/>
      <c r="V10" s="3"/>
      <c r="W10" s="3"/>
    </row>
    <row r="11" spans="1:23" ht="12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"/>
      <c r="R11" s="3"/>
      <c r="S11" s="3"/>
      <c r="T11" s="3"/>
      <c r="U11" s="3"/>
      <c r="V11" s="3"/>
      <c r="W11" s="3"/>
    </row>
    <row r="12" spans="1:23" ht="12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3"/>
      <c r="R12" s="3"/>
      <c r="S12" s="3"/>
      <c r="T12" s="3"/>
      <c r="U12" s="3"/>
      <c r="V12" s="3"/>
      <c r="W12" s="3"/>
    </row>
    <row r="13" spans="1:23" ht="12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  <c r="W13" s="3"/>
    </row>
    <row r="14" spans="1:23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  <c r="W14" s="3"/>
    </row>
    <row r="15" spans="1:23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"/>
      <c r="R15" s="3"/>
      <c r="S15" s="3"/>
      <c r="T15" s="3"/>
      <c r="U15" s="3"/>
      <c r="V15" s="3"/>
      <c r="W15" s="3"/>
    </row>
    <row r="16" spans="1:23" ht="12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</row>
    <row r="17" spans="1:23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"/>
      <c r="R17" s="3"/>
      <c r="S17" s="3"/>
      <c r="T17" s="3"/>
      <c r="U17" s="3"/>
      <c r="V17" s="3"/>
      <c r="W17" s="3"/>
    </row>
    <row r="18" spans="1:23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3"/>
      <c r="S18" s="3"/>
      <c r="T18" s="3"/>
      <c r="U18" s="3"/>
      <c r="V18" s="3"/>
      <c r="W18" s="3"/>
    </row>
    <row r="19" spans="1:23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  <c r="R19" s="3"/>
      <c r="S19" s="3"/>
      <c r="T19" s="3"/>
      <c r="U19" s="3"/>
      <c r="V19" s="3"/>
      <c r="W19" s="3"/>
    </row>
    <row r="20" spans="1:23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</row>
    <row r="21" spans="1:23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</row>
    <row r="22" spans="1:23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</row>
    <row r="23" spans="1:23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</row>
    <row r="24" spans="1:23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</row>
    <row r="25" spans="1:23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</row>
    <row r="26" spans="1:23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</row>
    <row r="27" spans="1:23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</row>
    <row r="28" spans="1:23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</row>
    <row r="29" spans="1:23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/>
      <c r="R29" s="3"/>
      <c r="S29" s="3"/>
      <c r="T29" s="3"/>
      <c r="U29" s="3"/>
      <c r="V29" s="3"/>
      <c r="W29" s="3"/>
    </row>
    <row r="30" spans="1:23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</row>
    <row r="31" spans="1:23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</row>
    <row r="32" spans="1:23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</row>
    <row r="33" spans="1:23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</row>
    <row r="34" spans="1:23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2.75" customHeight="1" x14ac:dyDescent="0.3"/>
    <row r="38" spans="1:23" ht="12.75" customHeight="1" x14ac:dyDescent="0.3"/>
    <row r="39" spans="1:23" ht="12.75" customHeight="1" x14ac:dyDescent="0.3"/>
    <row r="40" spans="1:23" ht="12.75" customHeight="1" x14ac:dyDescent="0.3"/>
    <row r="41" spans="1:23" ht="12.75" customHeight="1" x14ac:dyDescent="0.3"/>
    <row r="42" spans="1:23" ht="12.75" customHeight="1" x14ac:dyDescent="0.3"/>
    <row r="43" spans="1:23" ht="12.75" customHeight="1" x14ac:dyDescent="0.3"/>
    <row r="44" spans="1:23" ht="12.75" customHeight="1" x14ac:dyDescent="0.3"/>
    <row r="45" spans="1:23" ht="12.75" customHeight="1" x14ac:dyDescent="0.3"/>
    <row r="46" spans="1:23" ht="12.75" customHeight="1" x14ac:dyDescent="0.3"/>
    <row r="47" spans="1:23" ht="12.75" customHeight="1" x14ac:dyDescent="0.3"/>
    <row r="48" spans="1:23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2">
    <mergeCell ref="A1:H1"/>
    <mergeCell ref="C5:J5"/>
  </mergeCells>
  <pageMargins left="0.78740157499999996" right="0.78740157499999996" top="0.984251969" bottom="0.984251969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topLeftCell="B1" workbookViewId="0">
      <selection activeCell="K2" sqref="K2"/>
    </sheetView>
  </sheetViews>
  <sheetFormatPr baseColWidth="10" defaultColWidth="14.3984375" defaultRowHeight="15" customHeight="1" x14ac:dyDescent="0.3"/>
  <cols>
    <col min="1" max="1" width="10.69921875" customWidth="1"/>
    <col min="2" max="2" width="15.8984375" customWidth="1"/>
    <col min="3" max="3" width="16.69921875" customWidth="1"/>
    <col min="4" max="4" width="9.69921875" customWidth="1"/>
    <col min="5" max="5" width="9.59765625" customWidth="1"/>
    <col min="6" max="6" width="10" customWidth="1"/>
    <col min="7" max="7" width="19" customWidth="1"/>
    <col min="8" max="8" width="7.09765625" customWidth="1"/>
    <col min="9" max="9" width="10.09765625" customWidth="1"/>
    <col min="10" max="10" width="12.296875" customWidth="1"/>
    <col min="11" max="11" width="10.59765625" customWidth="1"/>
    <col min="12" max="26" width="10.69921875" customWidth="1"/>
  </cols>
  <sheetData>
    <row r="1" spans="1:26" ht="22.5" customHeigh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7" t="s">
        <v>11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3">
      <c r="A2" s="9">
        <v>1481</v>
      </c>
      <c r="B2" s="10" t="s">
        <v>12</v>
      </c>
      <c r="C2" s="10" t="s">
        <v>13</v>
      </c>
      <c r="D2" s="11">
        <v>3091</v>
      </c>
      <c r="E2" s="11" t="s">
        <v>14</v>
      </c>
      <c r="F2" s="11" t="s">
        <v>15</v>
      </c>
      <c r="G2" s="12">
        <v>13197.46</v>
      </c>
      <c r="H2" s="11" t="s">
        <v>16</v>
      </c>
      <c r="I2" s="13">
        <v>23470</v>
      </c>
      <c r="J2" s="14">
        <f ca="1">INT((TODAY()-I2)/365.25)</f>
        <v>61</v>
      </c>
      <c r="K2" s="14">
        <f t="shared" ref="K2:K256" ca="1" si="0">INT((J2-20)/5)+1</f>
        <v>9</v>
      </c>
    </row>
    <row r="3" spans="1:26" ht="12.75" customHeight="1" x14ac:dyDescent="0.3">
      <c r="A3" s="9">
        <v>1147</v>
      </c>
      <c r="B3" s="10" t="s">
        <v>17</v>
      </c>
      <c r="C3" s="10" t="s">
        <v>18</v>
      </c>
      <c r="D3" s="11">
        <v>3186</v>
      </c>
      <c r="E3" s="11" t="s">
        <v>19</v>
      </c>
      <c r="F3" s="11" t="s">
        <v>15</v>
      </c>
      <c r="G3" s="12">
        <v>16230.3</v>
      </c>
      <c r="H3" s="11" t="s">
        <v>20</v>
      </c>
      <c r="I3" s="13">
        <v>27153</v>
      </c>
      <c r="J3" s="14">
        <f t="shared" ref="J3:J256" ca="1" si="1">INT((TODAY()-I3)/365.25)</f>
        <v>51</v>
      </c>
      <c r="K3" s="14">
        <f t="shared" ca="1" si="0"/>
        <v>7</v>
      </c>
    </row>
    <row r="4" spans="1:26" ht="12.75" customHeight="1" x14ac:dyDescent="0.3">
      <c r="A4" s="9">
        <v>1239</v>
      </c>
      <c r="B4" s="10" t="s">
        <v>21</v>
      </c>
      <c r="C4" s="10" t="s">
        <v>22</v>
      </c>
      <c r="D4" s="11">
        <v>3055</v>
      </c>
      <c r="E4" s="11" t="s">
        <v>23</v>
      </c>
      <c r="F4" s="11" t="s">
        <v>15</v>
      </c>
      <c r="G4" s="12">
        <v>16036.97</v>
      </c>
      <c r="H4" s="11" t="s">
        <v>20</v>
      </c>
      <c r="I4" s="13">
        <v>23170</v>
      </c>
      <c r="J4" s="14">
        <f t="shared" ca="1" si="1"/>
        <v>62</v>
      </c>
      <c r="K4" s="14">
        <f t="shared" ca="1" si="0"/>
        <v>9</v>
      </c>
    </row>
    <row r="5" spans="1:26" ht="12.75" customHeight="1" x14ac:dyDescent="0.3">
      <c r="A5" s="9">
        <v>1111</v>
      </c>
      <c r="B5" s="10" t="s">
        <v>24</v>
      </c>
      <c r="C5" s="10" t="s">
        <v>25</v>
      </c>
      <c r="D5" s="11">
        <v>3033</v>
      </c>
      <c r="E5" s="11" t="s">
        <v>19</v>
      </c>
      <c r="F5" s="11" t="s">
        <v>26</v>
      </c>
      <c r="G5" s="12">
        <v>6501.11</v>
      </c>
      <c r="H5" s="11" t="s">
        <v>16</v>
      </c>
      <c r="I5" s="13">
        <v>27651</v>
      </c>
      <c r="J5" s="14">
        <f t="shared" ca="1" si="1"/>
        <v>50</v>
      </c>
      <c r="K5" s="14">
        <f t="shared" ca="1" si="0"/>
        <v>7</v>
      </c>
    </row>
    <row r="6" spans="1:26" ht="12.75" customHeight="1" x14ac:dyDescent="0.3">
      <c r="A6" s="9">
        <v>1293</v>
      </c>
      <c r="B6" s="10" t="s">
        <v>27</v>
      </c>
      <c r="C6" s="10" t="s">
        <v>28</v>
      </c>
      <c r="D6" s="11">
        <v>3127</v>
      </c>
      <c r="E6" s="11" t="s">
        <v>14</v>
      </c>
      <c r="F6" s="11" t="s">
        <v>29</v>
      </c>
      <c r="G6" s="12">
        <v>20635.11</v>
      </c>
      <c r="H6" s="11" t="s">
        <v>16</v>
      </c>
      <c r="I6" s="13">
        <v>22192</v>
      </c>
      <c r="J6" s="14">
        <f t="shared" ca="1" si="1"/>
        <v>65</v>
      </c>
      <c r="K6" s="14">
        <f t="shared" ca="1" si="0"/>
        <v>10</v>
      </c>
    </row>
    <row r="7" spans="1:26" ht="12.75" customHeight="1" x14ac:dyDescent="0.3">
      <c r="A7" s="9">
        <v>1149</v>
      </c>
      <c r="B7" s="10" t="s">
        <v>30</v>
      </c>
      <c r="C7" s="10" t="s">
        <v>31</v>
      </c>
      <c r="D7" s="11">
        <v>3408</v>
      </c>
      <c r="E7" s="11" t="s">
        <v>14</v>
      </c>
      <c r="F7" s="11" t="s">
        <v>15</v>
      </c>
      <c r="G7" s="12">
        <v>7765.85</v>
      </c>
      <c r="H7" s="11" t="s">
        <v>20</v>
      </c>
      <c r="I7" s="13">
        <v>26850</v>
      </c>
      <c r="J7" s="14">
        <f t="shared" ca="1" si="1"/>
        <v>52</v>
      </c>
      <c r="K7" s="14">
        <f t="shared" ca="1" si="0"/>
        <v>7</v>
      </c>
    </row>
    <row r="8" spans="1:26" ht="12.75" customHeight="1" x14ac:dyDescent="0.3">
      <c r="A8" s="9">
        <v>1191</v>
      </c>
      <c r="B8" s="10" t="s">
        <v>32</v>
      </c>
      <c r="C8" s="10" t="s">
        <v>33</v>
      </c>
      <c r="D8" s="11">
        <v>3766</v>
      </c>
      <c r="E8" s="11" t="s">
        <v>19</v>
      </c>
      <c r="F8" s="11" t="s">
        <v>26</v>
      </c>
      <c r="G8" s="12">
        <v>10598.14</v>
      </c>
      <c r="H8" s="11" t="s">
        <v>20</v>
      </c>
      <c r="I8" s="13">
        <v>26387</v>
      </c>
      <c r="J8" s="14">
        <f t="shared" ca="1" si="1"/>
        <v>53</v>
      </c>
      <c r="K8" s="14">
        <f t="shared" ca="1" si="0"/>
        <v>7</v>
      </c>
    </row>
    <row r="9" spans="1:26" ht="12.75" customHeight="1" x14ac:dyDescent="0.3">
      <c r="A9" s="9">
        <v>1525</v>
      </c>
      <c r="B9" s="10" t="s">
        <v>34</v>
      </c>
      <c r="C9" s="10" t="s">
        <v>35</v>
      </c>
      <c r="D9" s="11">
        <v>3098</v>
      </c>
      <c r="E9" s="11" t="s">
        <v>19</v>
      </c>
      <c r="F9" s="11" t="s">
        <v>15</v>
      </c>
      <c r="G9" s="12">
        <v>27235</v>
      </c>
      <c r="H9" s="11" t="s">
        <v>20</v>
      </c>
      <c r="I9" s="13">
        <v>26000</v>
      </c>
      <c r="J9" s="14">
        <f t="shared" ca="1" si="1"/>
        <v>55</v>
      </c>
      <c r="K9" s="14">
        <f t="shared" ca="1" si="0"/>
        <v>8</v>
      </c>
    </row>
    <row r="10" spans="1:26" ht="12.75" customHeight="1" x14ac:dyDescent="0.3">
      <c r="A10" s="9">
        <v>1281</v>
      </c>
      <c r="B10" s="10" t="s">
        <v>36</v>
      </c>
      <c r="C10" s="10" t="s">
        <v>37</v>
      </c>
      <c r="D10" s="11">
        <v>3421</v>
      </c>
      <c r="E10" s="11" t="s">
        <v>14</v>
      </c>
      <c r="F10" s="11" t="s">
        <v>38</v>
      </c>
      <c r="G10" s="12">
        <v>17480.689999999999</v>
      </c>
      <c r="H10" s="11" t="s">
        <v>16</v>
      </c>
      <c r="I10" s="13">
        <v>22595</v>
      </c>
      <c r="J10" s="14">
        <f t="shared" ca="1" si="1"/>
        <v>64</v>
      </c>
      <c r="K10" s="14">
        <f t="shared" ca="1" si="0"/>
        <v>9</v>
      </c>
    </row>
    <row r="11" spans="1:26" ht="12.75" customHeight="1" x14ac:dyDescent="0.3">
      <c r="A11" s="9">
        <v>1377</v>
      </c>
      <c r="B11" s="10" t="s">
        <v>39</v>
      </c>
      <c r="C11" s="10" t="s">
        <v>40</v>
      </c>
      <c r="D11" s="11">
        <v>3419</v>
      </c>
      <c r="E11" s="11" t="s">
        <v>14</v>
      </c>
      <c r="F11" s="11" t="s">
        <v>29</v>
      </c>
      <c r="G11" s="12">
        <v>15446.76</v>
      </c>
      <c r="H11" s="11" t="s">
        <v>20</v>
      </c>
      <c r="I11" s="13">
        <v>21256</v>
      </c>
      <c r="J11" s="14">
        <f t="shared" ca="1" si="1"/>
        <v>67</v>
      </c>
      <c r="K11" s="14">
        <f t="shared" ca="1" si="0"/>
        <v>10</v>
      </c>
    </row>
    <row r="12" spans="1:26" ht="12.75" customHeight="1" x14ac:dyDescent="0.3">
      <c r="A12" s="9">
        <v>1307</v>
      </c>
      <c r="B12" s="10" t="s">
        <v>41</v>
      </c>
      <c r="C12" s="10" t="s">
        <v>42</v>
      </c>
      <c r="D12" s="11">
        <v>3060</v>
      </c>
      <c r="E12" s="11" t="s">
        <v>43</v>
      </c>
      <c r="F12" s="11" t="s">
        <v>15</v>
      </c>
      <c r="G12" s="12">
        <v>10824.67</v>
      </c>
      <c r="H12" s="11" t="s">
        <v>16</v>
      </c>
      <c r="I12" s="13">
        <v>21746</v>
      </c>
      <c r="J12" s="14">
        <f t="shared" ca="1" si="1"/>
        <v>66</v>
      </c>
      <c r="K12" s="14">
        <f t="shared" ca="1" si="0"/>
        <v>10</v>
      </c>
    </row>
    <row r="13" spans="1:26" ht="12.75" customHeight="1" x14ac:dyDescent="0.3">
      <c r="A13" s="9">
        <v>1345</v>
      </c>
      <c r="B13" s="10" t="s">
        <v>44</v>
      </c>
      <c r="C13" s="10" t="s">
        <v>45</v>
      </c>
      <c r="D13" s="11">
        <v>3147</v>
      </c>
      <c r="E13" s="11" t="s">
        <v>19</v>
      </c>
      <c r="F13" s="11" t="s">
        <v>26</v>
      </c>
      <c r="G13" s="12">
        <v>18924.919999999998</v>
      </c>
      <c r="H13" s="11" t="s">
        <v>16</v>
      </c>
      <c r="I13" s="13">
        <v>21379</v>
      </c>
      <c r="J13" s="14">
        <f t="shared" ca="1" si="1"/>
        <v>67</v>
      </c>
      <c r="K13" s="14">
        <f t="shared" ca="1" si="0"/>
        <v>10</v>
      </c>
    </row>
    <row r="14" spans="1:26" ht="12.75" customHeight="1" x14ac:dyDescent="0.3">
      <c r="A14" s="9">
        <v>1347</v>
      </c>
      <c r="B14" s="10" t="s">
        <v>46</v>
      </c>
      <c r="C14" s="10" t="s">
        <v>47</v>
      </c>
      <c r="D14" s="11">
        <v>3795</v>
      </c>
      <c r="E14" s="11" t="s">
        <v>19</v>
      </c>
      <c r="F14" s="11" t="s">
        <v>15</v>
      </c>
      <c r="G14" s="12">
        <v>7272.69</v>
      </c>
      <c r="H14" s="11" t="s">
        <v>16</v>
      </c>
      <c r="I14" s="13">
        <v>21692</v>
      </c>
      <c r="J14" s="14">
        <f t="shared" ca="1" si="1"/>
        <v>66</v>
      </c>
      <c r="K14" s="14">
        <f t="shared" ca="1" si="0"/>
        <v>10</v>
      </c>
    </row>
    <row r="15" spans="1:26" ht="12.75" customHeight="1" x14ac:dyDescent="0.3">
      <c r="A15" s="9">
        <v>1551</v>
      </c>
      <c r="B15" s="10" t="s">
        <v>48</v>
      </c>
      <c r="C15" s="10" t="s">
        <v>49</v>
      </c>
      <c r="D15" s="11">
        <v>3725</v>
      </c>
      <c r="E15" s="11" t="s">
        <v>50</v>
      </c>
      <c r="F15" s="11" t="s">
        <v>26</v>
      </c>
      <c r="G15" s="12">
        <v>13211.56</v>
      </c>
      <c r="H15" s="11" t="s">
        <v>16</v>
      </c>
      <c r="I15" s="13">
        <v>25272</v>
      </c>
      <c r="J15" s="14">
        <f t="shared" ca="1" si="1"/>
        <v>57</v>
      </c>
      <c r="K15" s="14">
        <f t="shared" ca="1" si="0"/>
        <v>8</v>
      </c>
    </row>
    <row r="16" spans="1:26" ht="12.75" customHeight="1" x14ac:dyDescent="0.3">
      <c r="A16" s="9">
        <v>1221</v>
      </c>
      <c r="B16" s="10" t="s">
        <v>51</v>
      </c>
      <c r="C16" s="10" t="s">
        <v>52</v>
      </c>
      <c r="D16" s="11">
        <v>3070</v>
      </c>
      <c r="E16" s="11" t="s">
        <v>43</v>
      </c>
      <c r="F16" s="11" t="s">
        <v>15</v>
      </c>
      <c r="G16" s="12">
        <v>10537.74</v>
      </c>
      <c r="H16" s="11" t="s">
        <v>16</v>
      </c>
      <c r="I16" s="13">
        <v>24436</v>
      </c>
      <c r="J16" s="14">
        <f t="shared" ca="1" si="1"/>
        <v>59</v>
      </c>
      <c r="K16" s="14">
        <f t="shared" ca="1" si="0"/>
        <v>8</v>
      </c>
    </row>
    <row r="17" spans="1:11" ht="12.75" customHeight="1" x14ac:dyDescent="0.3">
      <c r="A17" s="9">
        <v>1023</v>
      </c>
      <c r="B17" s="10" t="s">
        <v>53</v>
      </c>
      <c r="C17" s="10" t="s">
        <v>54</v>
      </c>
      <c r="D17" s="11">
        <v>3280</v>
      </c>
      <c r="E17" s="11" t="s">
        <v>14</v>
      </c>
      <c r="F17" s="11" t="s">
        <v>29</v>
      </c>
      <c r="G17" s="12">
        <v>12122.64</v>
      </c>
      <c r="H17" s="11" t="s">
        <v>16</v>
      </c>
      <c r="I17" s="13">
        <v>30881</v>
      </c>
      <c r="J17" s="14">
        <f t="shared" ca="1" si="1"/>
        <v>41</v>
      </c>
      <c r="K17" s="14">
        <f t="shared" ca="1" si="0"/>
        <v>5</v>
      </c>
    </row>
    <row r="18" spans="1:11" ht="12.75" customHeight="1" x14ac:dyDescent="0.3">
      <c r="A18" s="9">
        <v>1241</v>
      </c>
      <c r="B18" s="10" t="s">
        <v>55</v>
      </c>
      <c r="C18" s="10" t="s">
        <v>56</v>
      </c>
      <c r="D18" s="11">
        <v>3090</v>
      </c>
      <c r="E18" s="11" t="s">
        <v>14</v>
      </c>
      <c r="F18" s="11" t="s">
        <v>38</v>
      </c>
      <c r="G18" s="12">
        <v>12212.25</v>
      </c>
      <c r="H18" s="11" t="s">
        <v>20</v>
      </c>
      <c r="I18" s="13">
        <v>23220</v>
      </c>
      <c r="J18" s="14">
        <f t="shared" ca="1" si="1"/>
        <v>62</v>
      </c>
      <c r="K18" s="14">
        <f t="shared" ca="1" si="0"/>
        <v>9</v>
      </c>
    </row>
    <row r="19" spans="1:11" ht="12.75" customHeight="1" x14ac:dyDescent="0.3">
      <c r="A19" s="9">
        <v>1223</v>
      </c>
      <c r="B19" s="10" t="s">
        <v>57</v>
      </c>
      <c r="C19" s="10" t="s">
        <v>58</v>
      </c>
      <c r="D19" s="11">
        <v>3880</v>
      </c>
      <c r="E19" s="11" t="s">
        <v>14</v>
      </c>
      <c r="F19" s="11" t="s">
        <v>15</v>
      </c>
      <c r="G19" s="12">
        <v>19573.41</v>
      </c>
      <c r="H19" s="11" t="s">
        <v>16</v>
      </c>
      <c r="I19" s="13">
        <v>24375</v>
      </c>
      <c r="J19" s="14">
        <f t="shared" ca="1" si="1"/>
        <v>59</v>
      </c>
      <c r="K19" s="14">
        <f t="shared" ca="1" si="0"/>
        <v>8</v>
      </c>
    </row>
    <row r="20" spans="1:11" ht="12.75" customHeight="1" x14ac:dyDescent="0.3">
      <c r="A20" s="9">
        <v>1309</v>
      </c>
      <c r="B20" s="10" t="s">
        <v>57</v>
      </c>
      <c r="C20" s="10" t="s">
        <v>59</v>
      </c>
      <c r="D20" s="11">
        <v>3632</v>
      </c>
      <c r="E20" s="11" t="s">
        <v>14</v>
      </c>
      <c r="F20" s="11" t="s">
        <v>29</v>
      </c>
      <c r="G20" s="12">
        <v>18942.97</v>
      </c>
      <c r="H20" s="11" t="s">
        <v>16</v>
      </c>
      <c r="I20" s="13">
        <v>21704</v>
      </c>
      <c r="J20" s="14">
        <f t="shared" ca="1" si="1"/>
        <v>66</v>
      </c>
      <c r="K20" s="14">
        <f t="shared" ca="1" si="0"/>
        <v>10</v>
      </c>
    </row>
    <row r="21" spans="1:11" ht="12.75" customHeight="1" x14ac:dyDescent="0.3">
      <c r="A21" s="9">
        <v>1073</v>
      </c>
      <c r="B21" s="10" t="s">
        <v>60</v>
      </c>
      <c r="C21" s="10" t="s">
        <v>61</v>
      </c>
      <c r="D21" s="11">
        <v>3541</v>
      </c>
      <c r="E21" s="11" t="s">
        <v>43</v>
      </c>
      <c r="F21" s="11" t="s">
        <v>15</v>
      </c>
      <c r="G21" s="12">
        <v>9360.2000000000007</v>
      </c>
      <c r="H21" s="11" t="s">
        <v>20</v>
      </c>
      <c r="I21" s="13">
        <v>28393</v>
      </c>
      <c r="J21" s="14">
        <f t="shared" ca="1" si="1"/>
        <v>48</v>
      </c>
      <c r="K21" s="14">
        <f t="shared" ca="1" si="0"/>
        <v>6</v>
      </c>
    </row>
    <row r="22" spans="1:11" ht="12.75" customHeight="1" x14ac:dyDescent="0.3">
      <c r="A22" s="9">
        <v>1193</v>
      </c>
      <c r="B22" s="10" t="s">
        <v>62</v>
      </c>
      <c r="C22" s="10" t="s">
        <v>63</v>
      </c>
      <c r="D22" s="11">
        <v>3595</v>
      </c>
      <c r="E22" s="11" t="s">
        <v>43</v>
      </c>
      <c r="F22" s="11" t="s">
        <v>15</v>
      </c>
      <c r="G22" s="12">
        <v>8635.34</v>
      </c>
      <c r="H22" s="11" t="s">
        <v>16</v>
      </c>
      <c r="I22" s="13">
        <v>26085</v>
      </c>
      <c r="J22" s="14">
        <f t="shared" ca="1" si="1"/>
        <v>54</v>
      </c>
      <c r="K22" s="14">
        <f t="shared" ca="1" si="0"/>
        <v>7</v>
      </c>
    </row>
    <row r="23" spans="1:11" ht="12.75" customHeight="1" x14ac:dyDescent="0.3">
      <c r="A23" s="9">
        <v>1075</v>
      </c>
      <c r="B23" s="10" t="s">
        <v>64</v>
      </c>
      <c r="C23" s="10" t="s">
        <v>31</v>
      </c>
      <c r="D23" s="11">
        <v>3008</v>
      </c>
      <c r="E23" s="11" t="s">
        <v>50</v>
      </c>
      <c r="F23" s="11" t="s">
        <v>26</v>
      </c>
      <c r="G23" s="12">
        <v>9687.41</v>
      </c>
      <c r="H23" s="11" t="s">
        <v>20</v>
      </c>
      <c r="I23" s="13">
        <v>28543</v>
      </c>
      <c r="J23" s="14">
        <f t="shared" ca="1" si="1"/>
        <v>48</v>
      </c>
      <c r="K23" s="14">
        <f t="shared" ca="1" si="0"/>
        <v>6</v>
      </c>
    </row>
    <row r="24" spans="1:11" ht="12.75" customHeight="1" x14ac:dyDescent="0.3">
      <c r="A24" s="9">
        <v>1403</v>
      </c>
      <c r="B24" s="10" t="s">
        <v>65</v>
      </c>
      <c r="C24" s="10" t="s">
        <v>58</v>
      </c>
      <c r="D24" s="11">
        <v>3013</v>
      </c>
      <c r="E24" s="11" t="s">
        <v>43</v>
      </c>
      <c r="F24" s="11" t="s">
        <v>15</v>
      </c>
      <c r="G24" s="12">
        <v>7418.36</v>
      </c>
      <c r="H24" s="11" t="s">
        <v>16</v>
      </c>
      <c r="I24" s="13">
        <v>20682</v>
      </c>
      <c r="J24" s="14">
        <f t="shared" ca="1" si="1"/>
        <v>69</v>
      </c>
      <c r="K24" s="14">
        <f t="shared" ca="1" si="0"/>
        <v>10</v>
      </c>
    </row>
    <row r="25" spans="1:11" ht="12.75" customHeight="1" x14ac:dyDescent="0.3">
      <c r="A25" s="9">
        <v>1209</v>
      </c>
      <c r="B25" s="10" t="s">
        <v>66</v>
      </c>
      <c r="C25" s="10" t="s">
        <v>67</v>
      </c>
      <c r="D25" s="11">
        <v>3486</v>
      </c>
      <c r="E25" s="11" t="s">
        <v>19</v>
      </c>
      <c r="F25" s="11" t="s">
        <v>26</v>
      </c>
      <c r="G25" s="12">
        <v>13232.19</v>
      </c>
      <c r="H25" s="11" t="s">
        <v>16</v>
      </c>
      <c r="I25" s="13">
        <v>25582</v>
      </c>
      <c r="J25" s="14">
        <f t="shared" ca="1" si="1"/>
        <v>56</v>
      </c>
      <c r="K25" s="14">
        <f t="shared" ca="1" si="0"/>
        <v>8</v>
      </c>
    </row>
    <row r="26" spans="1:11" ht="12.75" customHeight="1" x14ac:dyDescent="0.3">
      <c r="A26" s="9">
        <v>1553</v>
      </c>
      <c r="B26" s="10" t="s">
        <v>68</v>
      </c>
      <c r="C26" s="10" t="s">
        <v>69</v>
      </c>
      <c r="D26" s="11">
        <v>3287</v>
      </c>
      <c r="E26" s="11" t="s">
        <v>14</v>
      </c>
      <c r="F26" s="11" t="s">
        <v>29</v>
      </c>
      <c r="G26" s="12">
        <v>13033.62</v>
      </c>
      <c r="H26" s="11" t="s">
        <v>16</v>
      </c>
      <c r="I26" s="13">
        <v>25088</v>
      </c>
      <c r="J26" s="14">
        <f t="shared" ca="1" si="1"/>
        <v>57</v>
      </c>
      <c r="K26" s="14">
        <f t="shared" ca="1" si="0"/>
        <v>8</v>
      </c>
    </row>
    <row r="27" spans="1:11" ht="12.75" customHeight="1" x14ac:dyDescent="0.3">
      <c r="A27" s="9">
        <v>1131</v>
      </c>
      <c r="B27" s="10" t="s">
        <v>70</v>
      </c>
      <c r="C27" s="10" t="s">
        <v>71</v>
      </c>
      <c r="D27" s="11">
        <v>3141</v>
      </c>
      <c r="E27" s="11" t="s">
        <v>19</v>
      </c>
      <c r="F27" s="11" t="s">
        <v>26</v>
      </c>
      <c r="G27" s="12">
        <v>11393.43</v>
      </c>
      <c r="H27" s="11" t="s">
        <v>16</v>
      </c>
      <c r="I27" s="13">
        <v>27395</v>
      </c>
      <c r="J27" s="14">
        <f t="shared" ca="1" si="1"/>
        <v>51</v>
      </c>
      <c r="K27" s="14">
        <f t="shared" ca="1" si="0"/>
        <v>7</v>
      </c>
    </row>
    <row r="28" spans="1:11" ht="12.75" customHeight="1" x14ac:dyDescent="0.3">
      <c r="A28" s="9">
        <v>1567</v>
      </c>
      <c r="B28" s="10" t="s">
        <v>72</v>
      </c>
      <c r="C28" s="10" t="s">
        <v>73</v>
      </c>
      <c r="D28" s="11">
        <v>3710</v>
      </c>
      <c r="E28" s="11" t="s">
        <v>14</v>
      </c>
      <c r="F28" s="11" t="s">
        <v>29</v>
      </c>
      <c r="G28" s="12">
        <v>14652.57</v>
      </c>
      <c r="H28" s="11" t="s">
        <v>16</v>
      </c>
      <c r="I28" s="13">
        <v>24701</v>
      </c>
      <c r="J28" s="14">
        <f t="shared" ca="1" si="1"/>
        <v>58</v>
      </c>
      <c r="K28" s="14">
        <f t="shared" ca="1" si="0"/>
        <v>8</v>
      </c>
    </row>
    <row r="29" spans="1:11" ht="12.75" customHeight="1" x14ac:dyDescent="0.3">
      <c r="A29" s="9">
        <v>1543</v>
      </c>
      <c r="B29" s="10" t="s">
        <v>74</v>
      </c>
      <c r="C29" s="10" t="s">
        <v>75</v>
      </c>
      <c r="D29" s="11">
        <v>3132</v>
      </c>
      <c r="E29" s="11" t="s">
        <v>19</v>
      </c>
      <c r="F29" s="11" t="s">
        <v>29</v>
      </c>
      <c r="G29" s="12">
        <v>20998.11</v>
      </c>
      <c r="H29" s="11" t="s">
        <v>20</v>
      </c>
      <c r="I29" s="13">
        <v>25335</v>
      </c>
      <c r="J29" s="14">
        <f t="shared" ca="1" si="1"/>
        <v>56</v>
      </c>
      <c r="K29" s="14">
        <f t="shared" ca="1" si="0"/>
        <v>8</v>
      </c>
    </row>
    <row r="30" spans="1:11" ht="12.75" customHeight="1" x14ac:dyDescent="0.3">
      <c r="A30" s="9">
        <v>1483</v>
      </c>
      <c r="B30" s="10" t="s">
        <v>76</v>
      </c>
      <c r="C30" s="10" t="s">
        <v>77</v>
      </c>
      <c r="D30" s="11">
        <v>3012</v>
      </c>
      <c r="E30" s="11" t="s">
        <v>19</v>
      </c>
      <c r="F30" s="11" t="s">
        <v>29</v>
      </c>
      <c r="G30" s="12">
        <v>11016.74</v>
      </c>
      <c r="H30" s="11" t="s">
        <v>16</v>
      </c>
      <c r="I30" s="13">
        <v>23274</v>
      </c>
      <c r="J30" s="14">
        <f t="shared" ca="1" si="1"/>
        <v>62</v>
      </c>
      <c r="K30" s="14">
        <f t="shared" ca="1" si="0"/>
        <v>9</v>
      </c>
    </row>
    <row r="31" spans="1:11" ht="12.75" customHeight="1" x14ac:dyDescent="0.3">
      <c r="A31" s="9">
        <v>1349</v>
      </c>
      <c r="B31" s="10" t="s">
        <v>78</v>
      </c>
      <c r="C31" s="10" t="s">
        <v>79</v>
      </c>
      <c r="D31" s="11">
        <v>3626</v>
      </c>
      <c r="E31" s="11" t="s">
        <v>23</v>
      </c>
      <c r="F31" s="11" t="s">
        <v>15</v>
      </c>
      <c r="G31" s="12">
        <v>13065.95</v>
      </c>
      <c r="H31" s="11" t="s">
        <v>20</v>
      </c>
      <c r="I31" s="13">
        <v>21370</v>
      </c>
      <c r="J31" s="14">
        <f t="shared" ca="1" si="1"/>
        <v>67</v>
      </c>
      <c r="K31" s="14">
        <f t="shared" ca="1" si="0"/>
        <v>10</v>
      </c>
    </row>
    <row r="32" spans="1:11" ht="12.75" customHeight="1" x14ac:dyDescent="0.3">
      <c r="A32" s="9"/>
      <c r="B32" s="10" t="s">
        <v>80</v>
      </c>
      <c r="C32" s="10" t="s">
        <v>81</v>
      </c>
      <c r="D32" s="11">
        <v>3733</v>
      </c>
      <c r="E32" s="11" t="s">
        <v>14</v>
      </c>
      <c r="F32" s="11" t="s">
        <v>29</v>
      </c>
      <c r="G32" s="12">
        <v>11483.7</v>
      </c>
      <c r="H32" s="11" t="s">
        <v>16</v>
      </c>
      <c r="I32" s="13">
        <v>23327</v>
      </c>
      <c r="J32" s="14">
        <f t="shared" ca="1" si="1"/>
        <v>62</v>
      </c>
      <c r="K32" s="14">
        <f t="shared" ca="1" si="0"/>
        <v>9</v>
      </c>
    </row>
    <row r="33" spans="1:11" ht="12.75" customHeight="1" x14ac:dyDescent="0.3">
      <c r="A33" s="9">
        <v>1043</v>
      </c>
      <c r="B33" s="10" t="s">
        <v>82</v>
      </c>
      <c r="C33" s="10" t="s">
        <v>83</v>
      </c>
      <c r="D33" s="11">
        <v>3023</v>
      </c>
      <c r="E33" s="11" t="s">
        <v>19</v>
      </c>
      <c r="F33" s="11" t="s">
        <v>29</v>
      </c>
      <c r="G33" s="12">
        <v>14550.42</v>
      </c>
      <c r="H33" s="11" t="s">
        <v>20</v>
      </c>
      <c r="I33" s="13">
        <v>29598</v>
      </c>
      <c r="J33" s="14">
        <f t="shared" ca="1" si="1"/>
        <v>45</v>
      </c>
      <c r="K33" s="14">
        <f t="shared" ca="1" si="0"/>
        <v>6</v>
      </c>
    </row>
    <row r="34" spans="1:11" ht="12.75" customHeight="1" x14ac:dyDescent="0.3">
      <c r="A34" s="9">
        <v>1495</v>
      </c>
      <c r="B34" s="10" t="s">
        <v>84</v>
      </c>
      <c r="C34" s="10" t="s">
        <v>71</v>
      </c>
      <c r="D34" s="11">
        <v>3650</v>
      </c>
      <c r="E34" s="11" t="s">
        <v>19</v>
      </c>
      <c r="F34" s="11" t="s">
        <v>29</v>
      </c>
      <c r="G34" s="12">
        <v>18567.61</v>
      </c>
      <c r="H34" s="11" t="s">
        <v>16</v>
      </c>
      <c r="I34" s="13">
        <v>26850</v>
      </c>
      <c r="J34" s="14">
        <f t="shared" ca="1" si="1"/>
        <v>52</v>
      </c>
      <c r="K34" s="14">
        <f t="shared" ca="1" si="0"/>
        <v>7</v>
      </c>
    </row>
    <row r="35" spans="1:11" ht="12.75" customHeight="1" x14ac:dyDescent="0.3">
      <c r="A35" s="9">
        <v>1471</v>
      </c>
      <c r="B35" s="10" t="s">
        <v>85</v>
      </c>
      <c r="C35" s="10" t="s">
        <v>86</v>
      </c>
      <c r="D35" s="11">
        <v>3089</v>
      </c>
      <c r="E35" s="11" t="s">
        <v>14</v>
      </c>
      <c r="F35" s="11" t="s">
        <v>29</v>
      </c>
      <c r="G35" s="12">
        <v>16814.810000000001</v>
      </c>
      <c r="H35" s="11" t="s">
        <v>20</v>
      </c>
      <c r="I35" s="13">
        <v>23685</v>
      </c>
      <c r="J35" s="14">
        <f t="shared" ca="1" si="1"/>
        <v>61</v>
      </c>
      <c r="K35" s="14">
        <f t="shared" ca="1" si="0"/>
        <v>9</v>
      </c>
    </row>
    <row r="36" spans="1:11" ht="12.75" customHeight="1" x14ac:dyDescent="0.3">
      <c r="A36" s="9">
        <v>1177</v>
      </c>
      <c r="B36" s="10" t="s">
        <v>87</v>
      </c>
      <c r="C36" s="10" t="s">
        <v>88</v>
      </c>
      <c r="D36" s="11">
        <v>3568</v>
      </c>
      <c r="E36" s="11" t="s">
        <v>19</v>
      </c>
      <c r="F36" s="11" t="s">
        <v>29</v>
      </c>
      <c r="G36" s="12">
        <v>6372.99</v>
      </c>
      <c r="H36" s="11" t="s">
        <v>20</v>
      </c>
      <c r="I36" s="13">
        <v>26757</v>
      </c>
      <c r="J36" s="14">
        <f t="shared" ca="1" si="1"/>
        <v>52</v>
      </c>
      <c r="K36" s="14">
        <f t="shared" ca="1" si="0"/>
        <v>7</v>
      </c>
    </row>
    <row r="37" spans="1:11" ht="12.75" customHeight="1" x14ac:dyDescent="0.3">
      <c r="A37" s="9">
        <v>1077</v>
      </c>
      <c r="B37" s="10" t="s">
        <v>89</v>
      </c>
      <c r="C37" s="10" t="s">
        <v>90</v>
      </c>
      <c r="D37" s="11">
        <v>3214</v>
      </c>
      <c r="E37" s="11" t="s">
        <v>43</v>
      </c>
      <c r="F37" s="11" t="s">
        <v>15</v>
      </c>
      <c r="G37" s="12">
        <v>12287.69</v>
      </c>
      <c r="H37" s="11" t="s">
        <v>16</v>
      </c>
      <c r="I37" s="13">
        <v>28569</v>
      </c>
      <c r="J37" s="14">
        <f t="shared" ca="1" si="1"/>
        <v>47</v>
      </c>
      <c r="K37" s="14">
        <f t="shared" ca="1" si="0"/>
        <v>6</v>
      </c>
    </row>
    <row r="38" spans="1:11" ht="12.75" customHeight="1" x14ac:dyDescent="0.3">
      <c r="A38" s="9">
        <v>1029</v>
      </c>
      <c r="B38" s="10" t="s">
        <v>91</v>
      </c>
      <c r="C38" s="10" t="s">
        <v>90</v>
      </c>
      <c r="D38" s="11">
        <v>3059</v>
      </c>
      <c r="E38" s="11" t="s">
        <v>14</v>
      </c>
      <c r="F38" s="11" t="s">
        <v>15</v>
      </c>
      <c r="G38" s="12">
        <v>15948.14</v>
      </c>
      <c r="H38" s="11" t="s">
        <v>16</v>
      </c>
      <c r="I38" s="13">
        <v>30266</v>
      </c>
      <c r="J38" s="14">
        <f t="shared" ca="1" si="1"/>
        <v>43</v>
      </c>
      <c r="K38" s="14">
        <f t="shared" ca="1" si="0"/>
        <v>5</v>
      </c>
    </row>
    <row r="39" spans="1:11" ht="12.75" customHeight="1" x14ac:dyDescent="0.3">
      <c r="A39" s="9">
        <v>1311</v>
      </c>
      <c r="B39" s="10" t="s">
        <v>91</v>
      </c>
      <c r="C39" s="10" t="s">
        <v>92</v>
      </c>
      <c r="D39" s="11">
        <v>3170</v>
      </c>
      <c r="E39" s="11" t="s">
        <v>14</v>
      </c>
      <c r="F39" s="11" t="s">
        <v>15</v>
      </c>
      <c r="G39" s="12">
        <v>13834.41</v>
      </c>
      <c r="H39" s="11" t="s">
        <v>16</v>
      </c>
      <c r="I39" s="13">
        <v>21713</v>
      </c>
      <c r="J39" s="14">
        <f t="shared" ca="1" si="1"/>
        <v>66</v>
      </c>
      <c r="K39" s="14">
        <f t="shared" ca="1" si="0"/>
        <v>10</v>
      </c>
    </row>
    <row r="40" spans="1:11" ht="12.75" customHeight="1" x14ac:dyDescent="0.3">
      <c r="A40" s="9">
        <v>1079</v>
      </c>
      <c r="B40" s="10" t="s">
        <v>93</v>
      </c>
      <c r="C40" s="10" t="s">
        <v>94</v>
      </c>
      <c r="D40" s="11">
        <v>3586</v>
      </c>
      <c r="E40" s="11" t="s">
        <v>14</v>
      </c>
      <c r="F40" s="11" t="s">
        <v>15</v>
      </c>
      <c r="G40" s="12">
        <v>20569.8</v>
      </c>
      <c r="H40" s="11" t="s">
        <v>16</v>
      </c>
      <c r="I40" s="13">
        <v>28447</v>
      </c>
      <c r="J40" s="14">
        <f t="shared" ca="1" si="1"/>
        <v>48</v>
      </c>
      <c r="K40" s="14">
        <f t="shared" ca="1" si="0"/>
        <v>6</v>
      </c>
    </row>
    <row r="41" spans="1:11" ht="12.75" customHeight="1" x14ac:dyDescent="0.3">
      <c r="A41" s="9">
        <v>1133</v>
      </c>
      <c r="B41" s="10" t="s">
        <v>95</v>
      </c>
      <c r="C41" s="10" t="s">
        <v>96</v>
      </c>
      <c r="D41" s="11">
        <v>3095</v>
      </c>
      <c r="E41" s="11" t="s">
        <v>14</v>
      </c>
      <c r="F41" s="11" t="s">
        <v>29</v>
      </c>
      <c r="G41" s="12">
        <v>15624.63</v>
      </c>
      <c r="H41" s="11" t="s">
        <v>20</v>
      </c>
      <c r="I41" s="13">
        <v>27505</v>
      </c>
      <c r="J41" s="14">
        <f t="shared" ca="1" si="1"/>
        <v>50</v>
      </c>
      <c r="K41" s="14">
        <f t="shared" ca="1" si="0"/>
        <v>7</v>
      </c>
    </row>
    <row r="42" spans="1:11" ht="12.75" customHeight="1" x14ac:dyDescent="0.3">
      <c r="A42" s="9">
        <v>1231</v>
      </c>
      <c r="B42" s="10" t="s">
        <v>97</v>
      </c>
      <c r="C42" s="10" t="s">
        <v>67</v>
      </c>
      <c r="D42" s="11">
        <v>3080</v>
      </c>
      <c r="E42" s="11" t="s">
        <v>23</v>
      </c>
      <c r="F42" s="11" t="s">
        <v>29</v>
      </c>
      <c r="G42" s="12">
        <v>14847.91</v>
      </c>
      <c r="H42" s="11" t="s">
        <v>16</v>
      </c>
      <c r="I42" s="13">
        <v>23553</v>
      </c>
      <c r="J42" s="14">
        <f t="shared" ca="1" si="1"/>
        <v>61</v>
      </c>
      <c r="K42" s="14">
        <f t="shared" ca="1" si="0"/>
        <v>9</v>
      </c>
    </row>
    <row r="43" spans="1:11" ht="12.75" customHeight="1" x14ac:dyDescent="0.3">
      <c r="A43" s="9">
        <v>1379</v>
      </c>
      <c r="B43" s="10" t="s">
        <v>98</v>
      </c>
      <c r="C43" s="10" t="s">
        <v>99</v>
      </c>
      <c r="D43" s="11">
        <v>3111</v>
      </c>
      <c r="E43" s="11" t="s">
        <v>43</v>
      </c>
      <c r="F43" s="11" t="s">
        <v>15</v>
      </c>
      <c r="G43" s="12">
        <v>9485.69</v>
      </c>
      <c r="H43" s="11" t="s">
        <v>20</v>
      </c>
      <c r="I43" s="13">
        <v>21128</v>
      </c>
      <c r="J43" s="14">
        <f t="shared" ca="1" si="1"/>
        <v>68</v>
      </c>
      <c r="K43" s="14">
        <f t="shared" ca="1" si="0"/>
        <v>10</v>
      </c>
    </row>
    <row r="44" spans="1:11" ht="12.75" customHeight="1" x14ac:dyDescent="0.3">
      <c r="A44" s="9">
        <v>1545</v>
      </c>
      <c r="B44" s="10" t="s">
        <v>100</v>
      </c>
      <c r="C44" s="10" t="s">
        <v>101</v>
      </c>
      <c r="D44" s="11">
        <v>3801</v>
      </c>
      <c r="E44" s="11" t="s">
        <v>19</v>
      </c>
      <c r="F44" s="11" t="s">
        <v>38</v>
      </c>
      <c r="G44" s="12">
        <v>23504</v>
      </c>
      <c r="H44" s="11" t="s">
        <v>16</v>
      </c>
      <c r="I44" s="13">
        <v>25549</v>
      </c>
      <c r="J44" s="14">
        <f t="shared" ca="1" si="1"/>
        <v>56</v>
      </c>
      <c r="K44" s="14">
        <f t="shared" ca="1" si="0"/>
        <v>8</v>
      </c>
    </row>
    <row r="45" spans="1:11" ht="12.75" customHeight="1" x14ac:dyDescent="0.3">
      <c r="A45" s="9">
        <v>1351</v>
      </c>
      <c r="B45" s="10" t="s">
        <v>102</v>
      </c>
      <c r="C45" s="10" t="s">
        <v>103</v>
      </c>
      <c r="D45" s="11">
        <v>3456</v>
      </c>
      <c r="E45" s="11" t="s">
        <v>19</v>
      </c>
      <c r="F45" s="11" t="s">
        <v>38</v>
      </c>
      <c r="G45" s="12">
        <v>17663.28</v>
      </c>
      <c r="H45" s="11" t="s">
        <v>20</v>
      </c>
      <c r="I45" s="13">
        <v>21689</v>
      </c>
      <c r="J45" s="14">
        <f t="shared" ca="1" si="1"/>
        <v>66</v>
      </c>
      <c r="K45" s="14">
        <f t="shared" ca="1" si="0"/>
        <v>10</v>
      </c>
    </row>
    <row r="46" spans="1:11" ht="12.75" customHeight="1" x14ac:dyDescent="0.3">
      <c r="A46" s="9">
        <v>1081</v>
      </c>
      <c r="B46" s="10" t="s">
        <v>104</v>
      </c>
      <c r="C46" s="10" t="s">
        <v>83</v>
      </c>
      <c r="D46" s="11">
        <v>3002</v>
      </c>
      <c r="E46" s="11" t="s">
        <v>43</v>
      </c>
      <c r="F46" s="11" t="s">
        <v>15</v>
      </c>
      <c r="G46" s="12">
        <v>17372.38</v>
      </c>
      <c r="H46" s="11" t="s">
        <v>20</v>
      </c>
      <c r="I46" s="13">
        <v>28293</v>
      </c>
      <c r="J46" s="14">
        <f t="shared" ca="1" si="1"/>
        <v>48</v>
      </c>
      <c r="K46" s="14">
        <f t="shared" ca="1" si="0"/>
        <v>6</v>
      </c>
    </row>
    <row r="47" spans="1:11" ht="12.75" customHeight="1" x14ac:dyDescent="0.3">
      <c r="A47" s="9">
        <v>1243</v>
      </c>
      <c r="B47" s="10" t="s">
        <v>105</v>
      </c>
      <c r="C47" s="10" t="s">
        <v>106</v>
      </c>
      <c r="D47" s="11">
        <v>3009</v>
      </c>
      <c r="E47" s="11" t="s">
        <v>19</v>
      </c>
      <c r="F47" s="11" t="s">
        <v>38</v>
      </c>
      <c r="G47" s="12">
        <v>14127.65</v>
      </c>
      <c r="H47" s="11" t="s">
        <v>16</v>
      </c>
      <c r="I47" s="13">
        <v>23253</v>
      </c>
      <c r="J47" s="14">
        <f t="shared" ca="1" si="1"/>
        <v>62</v>
      </c>
      <c r="K47" s="14">
        <f t="shared" ca="1" si="0"/>
        <v>9</v>
      </c>
    </row>
    <row r="48" spans="1:11" ht="12.75" customHeight="1" x14ac:dyDescent="0.3">
      <c r="A48" s="9">
        <v>1037</v>
      </c>
      <c r="B48" s="10" t="s">
        <v>107</v>
      </c>
      <c r="C48" s="10" t="s">
        <v>108</v>
      </c>
      <c r="D48" s="11">
        <v>3715</v>
      </c>
      <c r="E48" s="11" t="s">
        <v>19</v>
      </c>
      <c r="F48" s="11" t="s">
        <v>38</v>
      </c>
      <c r="G48" s="12">
        <v>7297.33</v>
      </c>
      <c r="H48" s="11" t="s">
        <v>16</v>
      </c>
      <c r="I48" s="13">
        <v>30044</v>
      </c>
      <c r="J48" s="14">
        <f t="shared" ca="1" si="1"/>
        <v>43</v>
      </c>
      <c r="K48" s="14">
        <f t="shared" ca="1" si="0"/>
        <v>5</v>
      </c>
    </row>
    <row r="49" spans="1:11" ht="12.75" customHeight="1" x14ac:dyDescent="0.3">
      <c r="A49" s="9">
        <v>1151</v>
      </c>
      <c r="B49" s="10" t="s">
        <v>109</v>
      </c>
      <c r="C49" s="10" t="s">
        <v>110</v>
      </c>
      <c r="D49" s="11">
        <v>3769</v>
      </c>
      <c r="E49" s="11" t="s">
        <v>50</v>
      </c>
      <c r="F49" s="11" t="s">
        <v>38</v>
      </c>
      <c r="G49" s="12">
        <v>15248.4</v>
      </c>
      <c r="H49" s="11" t="s">
        <v>16</v>
      </c>
      <c r="I49" s="13">
        <v>27082</v>
      </c>
      <c r="J49" s="14">
        <f t="shared" ca="1" si="1"/>
        <v>52</v>
      </c>
      <c r="K49" s="14">
        <f t="shared" ca="1" si="0"/>
        <v>7</v>
      </c>
    </row>
    <row r="50" spans="1:11" ht="12.75" customHeight="1" x14ac:dyDescent="0.3">
      <c r="A50" s="9">
        <v>1423</v>
      </c>
      <c r="B50" s="10" t="s">
        <v>111</v>
      </c>
      <c r="C50" s="10" t="s">
        <v>112</v>
      </c>
      <c r="D50" s="11">
        <v>3021</v>
      </c>
      <c r="E50" s="11" t="s">
        <v>14</v>
      </c>
      <c r="F50" s="11" t="s">
        <v>29</v>
      </c>
      <c r="G50" s="12">
        <v>15858.29</v>
      </c>
      <c r="H50" s="11" t="s">
        <v>16</v>
      </c>
      <c r="I50" s="13">
        <v>20285</v>
      </c>
      <c r="J50" s="14">
        <f t="shared" ca="1" si="1"/>
        <v>70</v>
      </c>
      <c r="K50" s="14">
        <f t="shared" ca="1" si="0"/>
        <v>11</v>
      </c>
    </row>
    <row r="51" spans="1:11" ht="12.75" customHeight="1" x14ac:dyDescent="0.3">
      <c r="A51" s="9">
        <v>1135</v>
      </c>
      <c r="B51" s="10" t="s">
        <v>113</v>
      </c>
      <c r="C51" s="10" t="s">
        <v>114</v>
      </c>
      <c r="D51" s="11">
        <v>3666</v>
      </c>
      <c r="E51" s="11" t="s">
        <v>14</v>
      </c>
      <c r="F51" s="11" t="s">
        <v>29</v>
      </c>
      <c r="G51" s="12">
        <v>17451.78</v>
      </c>
      <c r="H51" s="11" t="s">
        <v>16</v>
      </c>
      <c r="I51" s="13">
        <v>27295</v>
      </c>
      <c r="J51" s="14">
        <f t="shared" ca="1" si="1"/>
        <v>51</v>
      </c>
      <c r="K51" s="14">
        <f t="shared" ca="1" si="0"/>
        <v>7</v>
      </c>
    </row>
    <row r="52" spans="1:11" ht="12.75" customHeight="1" x14ac:dyDescent="0.3">
      <c r="A52" s="9">
        <v>1577</v>
      </c>
      <c r="B52" s="10" t="s">
        <v>115</v>
      </c>
      <c r="C52" s="10" t="s">
        <v>116</v>
      </c>
      <c r="D52" s="11">
        <v>3162</v>
      </c>
      <c r="E52" s="11" t="s">
        <v>19</v>
      </c>
      <c r="F52" s="11" t="s">
        <v>38</v>
      </c>
      <c r="G52" s="12">
        <v>14258.45</v>
      </c>
      <c r="H52" s="11" t="s">
        <v>20</v>
      </c>
      <c r="I52" s="13">
        <v>24481</v>
      </c>
      <c r="J52" s="14">
        <f t="shared" ca="1" si="1"/>
        <v>59</v>
      </c>
      <c r="K52" s="14">
        <f t="shared" ca="1" si="0"/>
        <v>8</v>
      </c>
    </row>
    <row r="53" spans="1:11" ht="12.75" customHeight="1" x14ac:dyDescent="0.3">
      <c r="A53" s="9">
        <v>1527</v>
      </c>
      <c r="B53" s="10" t="s">
        <v>117</v>
      </c>
      <c r="C53" s="10" t="s">
        <v>118</v>
      </c>
      <c r="D53" s="11">
        <v>3016</v>
      </c>
      <c r="E53" s="11" t="s">
        <v>14</v>
      </c>
      <c r="F53" s="11" t="s">
        <v>38</v>
      </c>
      <c r="G53" s="12">
        <v>7060.88</v>
      </c>
      <c r="H53" s="11" t="s">
        <v>20</v>
      </c>
      <c r="I53" s="13">
        <v>25788</v>
      </c>
      <c r="J53" s="14">
        <f t="shared" ca="1" si="1"/>
        <v>55</v>
      </c>
      <c r="K53" s="14">
        <f t="shared" ca="1" si="0"/>
        <v>8</v>
      </c>
    </row>
    <row r="54" spans="1:11" ht="12.75" customHeight="1" x14ac:dyDescent="0.3">
      <c r="A54" s="9">
        <v>1153</v>
      </c>
      <c r="B54" s="10" t="s">
        <v>119</v>
      </c>
      <c r="C54" s="10" t="s">
        <v>47</v>
      </c>
      <c r="D54" s="11">
        <v>3657</v>
      </c>
      <c r="E54" s="11" t="s">
        <v>19</v>
      </c>
      <c r="F54" s="11" t="s">
        <v>15</v>
      </c>
      <c r="G54" s="12">
        <v>10449.92</v>
      </c>
      <c r="H54" s="11" t="s">
        <v>16</v>
      </c>
      <c r="I54" s="13">
        <v>26902</v>
      </c>
      <c r="J54" s="14">
        <f t="shared" ca="1" si="1"/>
        <v>52</v>
      </c>
      <c r="K54" s="14">
        <f t="shared" ca="1" si="0"/>
        <v>7</v>
      </c>
    </row>
    <row r="55" spans="1:11" ht="12.75" customHeight="1" x14ac:dyDescent="0.3">
      <c r="A55" s="9">
        <v>1083</v>
      </c>
      <c r="B55" s="10" t="s">
        <v>120</v>
      </c>
      <c r="C55" s="10" t="s">
        <v>121</v>
      </c>
      <c r="D55" s="11">
        <v>3129</v>
      </c>
      <c r="E55" s="11" t="s">
        <v>43</v>
      </c>
      <c r="F55" s="11" t="s">
        <v>29</v>
      </c>
      <c r="G55" s="12">
        <v>16881.939999999999</v>
      </c>
      <c r="H55" s="11" t="s">
        <v>16</v>
      </c>
      <c r="I55" s="13">
        <v>28531</v>
      </c>
      <c r="J55" s="14">
        <f t="shared" ca="1" si="1"/>
        <v>48</v>
      </c>
      <c r="K55" s="14">
        <f t="shared" ca="1" si="0"/>
        <v>6</v>
      </c>
    </row>
    <row r="56" spans="1:11" ht="12.75" customHeight="1" x14ac:dyDescent="0.3">
      <c r="A56" s="9">
        <v>1039</v>
      </c>
      <c r="B56" s="10" t="s">
        <v>122</v>
      </c>
      <c r="C56" s="10" t="s">
        <v>123</v>
      </c>
      <c r="D56" s="11">
        <v>3171</v>
      </c>
      <c r="E56" s="11" t="s">
        <v>14</v>
      </c>
      <c r="F56" s="11" t="s">
        <v>29</v>
      </c>
      <c r="G56" s="12">
        <v>18069.400000000001</v>
      </c>
      <c r="H56" s="11" t="s">
        <v>20</v>
      </c>
      <c r="I56" s="13">
        <v>30065</v>
      </c>
      <c r="J56" s="14">
        <f t="shared" ca="1" si="1"/>
        <v>43</v>
      </c>
      <c r="K56" s="14">
        <f t="shared" ca="1" si="0"/>
        <v>5</v>
      </c>
    </row>
    <row r="57" spans="1:11" ht="12.75" customHeight="1" x14ac:dyDescent="0.3">
      <c r="A57" s="9">
        <v>1201</v>
      </c>
      <c r="B57" s="10" t="s">
        <v>124</v>
      </c>
      <c r="C57" s="10" t="s">
        <v>56</v>
      </c>
      <c r="D57" s="11">
        <v>3879</v>
      </c>
      <c r="E57" s="11" t="s">
        <v>50</v>
      </c>
      <c r="F57" s="11" t="s">
        <v>38</v>
      </c>
      <c r="G57" s="12">
        <v>12687.17</v>
      </c>
      <c r="H57" s="11" t="s">
        <v>20</v>
      </c>
      <c r="I57" s="13">
        <v>25864</v>
      </c>
      <c r="J57" s="14">
        <f t="shared" ca="1" si="1"/>
        <v>55</v>
      </c>
      <c r="K57" s="14">
        <f t="shared" ca="1" si="0"/>
        <v>8</v>
      </c>
    </row>
    <row r="58" spans="1:11" ht="12.75" customHeight="1" x14ac:dyDescent="0.3">
      <c r="A58" s="9">
        <v>1555</v>
      </c>
      <c r="B58" s="10" t="s">
        <v>125</v>
      </c>
      <c r="C58" s="10" t="s">
        <v>112</v>
      </c>
      <c r="D58" s="11">
        <v>3062</v>
      </c>
      <c r="E58" s="11" t="s">
        <v>14</v>
      </c>
      <c r="F58" s="11" t="s">
        <v>29</v>
      </c>
      <c r="G58" s="12">
        <v>12712.16</v>
      </c>
      <c r="H58" s="11" t="s">
        <v>16</v>
      </c>
      <c r="I58" s="13">
        <v>25047</v>
      </c>
      <c r="J58" s="14">
        <f t="shared" ca="1" si="1"/>
        <v>57</v>
      </c>
      <c r="K58" s="14">
        <f t="shared" ca="1" si="0"/>
        <v>8</v>
      </c>
    </row>
    <row r="59" spans="1:11" ht="12.75" customHeight="1" x14ac:dyDescent="0.3">
      <c r="A59" s="9">
        <v>1513</v>
      </c>
      <c r="B59" s="10" t="s">
        <v>126</v>
      </c>
      <c r="C59" s="10" t="s">
        <v>127</v>
      </c>
      <c r="D59" s="11">
        <v>3247</v>
      </c>
      <c r="E59" s="11" t="s">
        <v>43</v>
      </c>
      <c r="F59" s="11" t="s">
        <v>29</v>
      </c>
      <c r="G59" s="12">
        <v>20750.740000000002</v>
      </c>
      <c r="H59" s="11" t="s">
        <v>16</v>
      </c>
      <c r="I59" s="13">
        <v>26316</v>
      </c>
      <c r="J59" s="14">
        <f t="shared" ca="1" si="1"/>
        <v>54</v>
      </c>
      <c r="K59" s="14">
        <f t="shared" ca="1" si="0"/>
        <v>7</v>
      </c>
    </row>
    <row r="60" spans="1:11" ht="12.75" customHeight="1" x14ac:dyDescent="0.3">
      <c r="A60" s="9">
        <v>1283</v>
      </c>
      <c r="B60" s="10" t="s">
        <v>128</v>
      </c>
      <c r="C60" s="10" t="s">
        <v>129</v>
      </c>
      <c r="D60" s="11">
        <v>3778</v>
      </c>
      <c r="E60" s="11" t="s">
        <v>19</v>
      </c>
      <c r="F60" s="11" t="s">
        <v>15</v>
      </c>
      <c r="G60" s="12">
        <v>17046.79</v>
      </c>
      <c r="H60" s="11" t="s">
        <v>16</v>
      </c>
      <c r="I60" s="13">
        <v>22546</v>
      </c>
      <c r="J60" s="14">
        <f t="shared" ca="1" si="1"/>
        <v>64</v>
      </c>
      <c r="K60" s="14">
        <f t="shared" ca="1" si="0"/>
        <v>9</v>
      </c>
    </row>
    <row r="61" spans="1:11" ht="12.75" customHeight="1" x14ac:dyDescent="0.3">
      <c r="A61" s="9">
        <v>1353</v>
      </c>
      <c r="B61" s="10" t="s">
        <v>130</v>
      </c>
      <c r="C61" s="10" t="s">
        <v>131</v>
      </c>
      <c r="D61" s="11">
        <v>3041</v>
      </c>
      <c r="E61" s="11" t="s">
        <v>14</v>
      </c>
      <c r="F61" s="11" t="s">
        <v>38</v>
      </c>
      <c r="G61" s="12">
        <v>19285.599999999999</v>
      </c>
      <c r="H61" s="11" t="s">
        <v>20</v>
      </c>
      <c r="I61" s="13">
        <v>21639</v>
      </c>
      <c r="J61" s="14">
        <f t="shared" ca="1" si="1"/>
        <v>66</v>
      </c>
      <c r="K61" s="14">
        <f t="shared" ca="1" si="0"/>
        <v>10</v>
      </c>
    </row>
    <row r="62" spans="1:11" ht="12.75" customHeight="1" x14ac:dyDescent="0.3">
      <c r="A62" s="9">
        <v>1113</v>
      </c>
      <c r="B62" s="10" t="s">
        <v>132</v>
      </c>
      <c r="C62" s="10" t="s">
        <v>133</v>
      </c>
      <c r="D62" s="11">
        <v>3417</v>
      </c>
      <c r="E62" s="11" t="s">
        <v>19</v>
      </c>
      <c r="F62" s="11" t="s">
        <v>38</v>
      </c>
      <c r="G62" s="12">
        <v>19650.72</v>
      </c>
      <c r="H62" s="11" t="s">
        <v>16</v>
      </c>
      <c r="I62" s="13">
        <v>27648</v>
      </c>
      <c r="J62" s="14">
        <f t="shared" ca="1" si="1"/>
        <v>50</v>
      </c>
      <c r="K62" s="14">
        <f t="shared" ca="1" si="0"/>
        <v>7</v>
      </c>
    </row>
    <row r="63" spans="1:11" ht="12.75" customHeight="1" x14ac:dyDescent="0.3">
      <c r="A63" s="9">
        <v>1025</v>
      </c>
      <c r="B63" s="10" t="s">
        <v>134</v>
      </c>
      <c r="C63" s="10" t="s">
        <v>71</v>
      </c>
      <c r="D63" s="11">
        <v>3185</v>
      </c>
      <c r="E63" s="11" t="s">
        <v>19</v>
      </c>
      <c r="F63" s="11" t="s">
        <v>29</v>
      </c>
      <c r="G63" s="12">
        <v>17854.95</v>
      </c>
      <c r="H63" s="11" t="s">
        <v>16</v>
      </c>
      <c r="I63" s="13">
        <v>30647</v>
      </c>
      <c r="J63" s="14">
        <f t="shared" ca="1" si="1"/>
        <v>42</v>
      </c>
      <c r="K63" s="14">
        <f t="shared" ca="1" si="0"/>
        <v>5</v>
      </c>
    </row>
    <row r="64" spans="1:11" ht="12.75" customHeight="1" x14ac:dyDescent="0.3">
      <c r="A64" s="9">
        <v>1355</v>
      </c>
      <c r="B64" s="10" t="s">
        <v>135</v>
      </c>
      <c r="C64" s="10" t="s">
        <v>136</v>
      </c>
      <c r="D64" s="11">
        <v>3168</v>
      </c>
      <c r="E64" s="11" t="s">
        <v>19</v>
      </c>
      <c r="F64" s="11" t="s">
        <v>29</v>
      </c>
      <c r="G64" s="12">
        <v>13861.87</v>
      </c>
      <c r="H64" s="11" t="s">
        <v>16</v>
      </c>
      <c r="I64" s="13">
        <v>21507</v>
      </c>
      <c r="J64" s="14">
        <f t="shared" ca="1" si="1"/>
        <v>67</v>
      </c>
      <c r="K64" s="14">
        <f t="shared" ca="1" si="0"/>
        <v>10</v>
      </c>
    </row>
    <row r="65" spans="1:11" ht="12.75" customHeight="1" x14ac:dyDescent="0.3">
      <c r="A65" s="9">
        <v>1211</v>
      </c>
      <c r="B65" s="10" t="s">
        <v>137</v>
      </c>
      <c r="C65" s="10" t="s">
        <v>138</v>
      </c>
      <c r="D65" s="11">
        <v>3173</v>
      </c>
      <c r="E65" s="11" t="s">
        <v>14</v>
      </c>
      <c r="F65" s="11" t="s">
        <v>29</v>
      </c>
      <c r="G65" s="12">
        <v>12986.66</v>
      </c>
      <c r="H65" s="11" t="s">
        <v>20</v>
      </c>
      <c r="I65" s="13">
        <v>25650</v>
      </c>
      <c r="J65" s="14">
        <f t="shared" ca="1" si="1"/>
        <v>55</v>
      </c>
      <c r="K65" s="14">
        <f t="shared" ca="1" si="0"/>
        <v>8</v>
      </c>
    </row>
    <row r="66" spans="1:11" ht="12.75" customHeight="1" x14ac:dyDescent="0.3">
      <c r="A66" s="9">
        <v>1225</v>
      </c>
      <c r="B66" s="10" t="s">
        <v>139</v>
      </c>
      <c r="C66" s="10" t="s">
        <v>140</v>
      </c>
      <c r="D66" s="11">
        <v>3054</v>
      </c>
      <c r="E66" s="11" t="s">
        <v>50</v>
      </c>
      <c r="F66" s="11" t="s">
        <v>15</v>
      </c>
      <c r="G66" s="12">
        <v>6659.39</v>
      </c>
      <c r="H66" s="11" t="s">
        <v>20</v>
      </c>
      <c r="I66" s="13">
        <v>24165</v>
      </c>
      <c r="J66" s="14">
        <f t="shared" ca="1" si="1"/>
        <v>60</v>
      </c>
      <c r="K66" s="14">
        <f t="shared" ca="1" si="0"/>
        <v>9</v>
      </c>
    </row>
    <row r="67" spans="1:11" ht="12.75" customHeight="1" x14ac:dyDescent="0.3">
      <c r="A67" s="9">
        <v>1115</v>
      </c>
      <c r="B67" s="10" t="s">
        <v>141</v>
      </c>
      <c r="C67" s="10" t="s">
        <v>142</v>
      </c>
      <c r="D67" s="11">
        <v>3149</v>
      </c>
      <c r="E67" s="11" t="s">
        <v>50</v>
      </c>
      <c r="F67" s="11" t="s">
        <v>15</v>
      </c>
      <c r="G67" s="12">
        <v>6164.4</v>
      </c>
      <c r="H67" s="11" t="s">
        <v>16</v>
      </c>
      <c r="I67" s="13">
        <v>27876</v>
      </c>
      <c r="J67" s="14">
        <f t="shared" ca="1" si="1"/>
        <v>49</v>
      </c>
      <c r="K67" s="14">
        <f t="shared" ca="1" si="0"/>
        <v>6</v>
      </c>
    </row>
    <row r="68" spans="1:11" ht="12.75" customHeight="1" x14ac:dyDescent="0.3">
      <c r="A68" s="9">
        <v>1245</v>
      </c>
      <c r="B68" s="10" t="s">
        <v>143</v>
      </c>
      <c r="C68" s="10" t="s">
        <v>144</v>
      </c>
      <c r="D68" s="11">
        <v>3627</v>
      </c>
      <c r="E68" s="11" t="s">
        <v>19</v>
      </c>
      <c r="F68" s="11" t="s">
        <v>29</v>
      </c>
      <c r="G68" s="12">
        <v>20065.580000000002</v>
      </c>
      <c r="H68" s="11" t="s">
        <v>16</v>
      </c>
      <c r="I68" s="13">
        <v>23410</v>
      </c>
      <c r="J68" s="14">
        <f t="shared" ca="1" si="1"/>
        <v>62</v>
      </c>
      <c r="K68" s="14">
        <f t="shared" ca="1" si="0"/>
        <v>9</v>
      </c>
    </row>
    <row r="69" spans="1:11" ht="12.75" customHeight="1" x14ac:dyDescent="0.3">
      <c r="A69" s="9">
        <v>1155</v>
      </c>
      <c r="B69" s="10" t="s">
        <v>145</v>
      </c>
      <c r="C69" s="10" t="s">
        <v>146</v>
      </c>
      <c r="D69" s="11">
        <v>3730</v>
      </c>
      <c r="E69" s="11" t="s">
        <v>50</v>
      </c>
      <c r="F69" s="11" t="s">
        <v>26</v>
      </c>
      <c r="G69" s="12">
        <v>15187.79</v>
      </c>
      <c r="H69" s="11" t="s">
        <v>16</v>
      </c>
      <c r="I69" s="13">
        <v>27151</v>
      </c>
      <c r="J69" s="14">
        <f t="shared" ca="1" si="1"/>
        <v>51</v>
      </c>
      <c r="K69" s="14">
        <f t="shared" ca="1" si="0"/>
        <v>7</v>
      </c>
    </row>
    <row r="70" spans="1:11" ht="12.75" customHeight="1" x14ac:dyDescent="0.3">
      <c r="A70" s="9">
        <v>1529</v>
      </c>
      <c r="B70" s="10" t="s">
        <v>147</v>
      </c>
      <c r="C70" s="10" t="s">
        <v>148</v>
      </c>
      <c r="D70" s="11">
        <v>3946</v>
      </c>
      <c r="E70" s="11" t="s">
        <v>14</v>
      </c>
      <c r="F70" s="11" t="s">
        <v>15</v>
      </c>
      <c r="G70" s="12">
        <v>18745.23</v>
      </c>
      <c r="H70" s="11" t="s">
        <v>20</v>
      </c>
      <c r="I70" s="13">
        <v>25724</v>
      </c>
      <c r="J70" s="14">
        <f t="shared" ca="1" si="1"/>
        <v>55</v>
      </c>
      <c r="K70" s="14">
        <f t="shared" ca="1" si="0"/>
        <v>8</v>
      </c>
    </row>
    <row r="71" spans="1:11" ht="12.75" customHeight="1" x14ac:dyDescent="0.3">
      <c r="A71" s="9">
        <v>1099</v>
      </c>
      <c r="B71" s="10" t="s">
        <v>149</v>
      </c>
      <c r="C71" s="10" t="s">
        <v>150</v>
      </c>
      <c r="D71" s="11">
        <v>3200</v>
      </c>
      <c r="E71" s="11" t="s">
        <v>14</v>
      </c>
      <c r="F71" s="11" t="s">
        <v>29</v>
      </c>
      <c r="G71" s="12">
        <v>17486.900000000001</v>
      </c>
      <c r="H71" s="11" t="s">
        <v>16</v>
      </c>
      <c r="I71" s="13">
        <v>28193</v>
      </c>
      <c r="J71" s="14">
        <f t="shared" ca="1" si="1"/>
        <v>49</v>
      </c>
      <c r="K71" s="14">
        <f t="shared" ca="1" si="0"/>
        <v>6</v>
      </c>
    </row>
    <row r="72" spans="1:11" ht="12.75" customHeight="1" x14ac:dyDescent="0.3">
      <c r="A72" s="9">
        <v>1179</v>
      </c>
      <c r="B72" s="10" t="s">
        <v>151</v>
      </c>
      <c r="C72" s="10" t="s">
        <v>144</v>
      </c>
      <c r="D72" s="11">
        <v>3794</v>
      </c>
      <c r="E72" s="11" t="s">
        <v>19</v>
      </c>
      <c r="F72" s="11" t="s">
        <v>29</v>
      </c>
      <c r="G72" s="12">
        <v>12207.02</v>
      </c>
      <c r="H72" s="11" t="s">
        <v>16</v>
      </c>
      <c r="I72" s="13">
        <v>26791</v>
      </c>
      <c r="J72" s="14">
        <f t="shared" ca="1" si="1"/>
        <v>52</v>
      </c>
      <c r="K72" s="14">
        <f t="shared" ca="1" si="0"/>
        <v>7</v>
      </c>
    </row>
    <row r="73" spans="1:11" ht="12.75" customHeight="1" x14ac:dyDescent="0.3">
      <c r="A73" s="9">
        <v>1313</v>
      </c>
      <c r="B73" s="10" t="s">
        <v>152</v>
      </c>
      <c r="C73" s="10" t="s">
        <v>61</v>
      </c>
      <c r="D73" s="11">
        <v>3270</v>
      </c>
      <c r="E73" s="11" t="s">
        <v>19</v>
      </c>
      <c r="F73" s="11" t="s">
        <v>29</v>
      </c>
      <c r="G73" s="12">
        <v>7057.17</v>
      </c>
      <c r="H73" s="11" t="s">
        <v>20</v>
      </c>
      <c r="I73" s="13">
        <v>21839</v>
      </c>
      <c r="J73" s="14">
        <f t="shared" ca="1" si="1"/>
        <v>66</v>
      </c>
      <c r="K73" s="14">
        <f t="shared" ca="1" si="0"/>
        <v>10</v>
      </c>
    </row>
    <row r="74" spans="1:11" ht="12.75" customHeight="1" x14ac:dyDescent="0.3">
      <c r="A74" s="9">
        <v>1259</v>
      </c>
      <c r="B74" s="10" t="s">
        <v>153</v>
      </c>
      <c r="C74" s="10" t="s">
        <v>88</v>
      </c>
      <c r="D74" s="11">
        <v>3076</v>
      </c>
      <c r="E74" s="11" t="s">
        <v>43</v>
      </c>
      <c r="F74" s="11" t="s">
        <v>15</v>
      </c>
      <c r="G74" s="12">
        <v>8332.08</v>
      </c>
      <c r="H74" s="11" t="s">
        <v>20</v>
      </c>
      <c r="I74" s="13">
        <v>22816</v>
      </c>
      <c r="J74" s="14">
        <f t="shared" ca="1" si="1"/>
        <v>63</v>
      </c>
      <c r="K74" s="14">
        <f t="shared" ca="1" si="0"/>
        <v>9</v>
      </c>
    </row>
    <row r="75" spans="1:11" ht="12.75" customHeight="1" x14ac:dyDescent="0.3">
      <c r="A75" s="9">
        <v>1181</v>
      </c>
      <c r="B75" s="10" t="s">
        <v>154</v>
      </c>
      <c r="C75" s="10" t="s">
        <v>144</v>
      </c>
      <c r="D75" s="11">
        <v>3633</v>
      </c>
      <c r="E75" s="11" t="s">
        <v>14</v>
      </c>
      <c r="F75" s="11" t="s">
        <v>15</v>
      </c>
      <c r="G75" s="12">
        <v>11600.02</v>
      </c>
      <c r="H75" s="11" t="s">
        <v>16</v>
      </c>
      <c r="I75" s="13">
        <v>26692</v>
      </c>
      <c r="J75" s="14">
        <f t="shared" ca="1" si="1"/>
        <v>53</v>
      </c>
      <c r="K75" s="14">
        <f t="shared" ca="1" si="0"/>
        <v>7</v>
      </c>
    </row>
    <row r="76" spans="1:11" ht="12.75" customHeight="1" x14ac:dyDescent="0.3">
      <c r="A76" s="9">
        <v>1473</v>
      </c>
      <c r="B76" s="10" t="s">
        <v>155</v>
      </c>
      <c r="C76" s="10" t="s">
        <v>114</v>
      </c>
      <c r="D76" s="11">
        <v>3082</v>
      </c>
      <c r="E76" s="11" t="s">
        <v>19</v>
      </c>
      <c r="F76" s="11" t="s">
        <v>29</v>
      </c>
      <c r="G76" s="12">
        <v>20081.28</v>
      </c>
      <c r="H76" s="11" t="s">
        <v>16</v>
      </c>
      <c r="I76" s="13">
        <v>23806</v>
      </c>
      <c r="J76" s="14">
        <f t="shared" ca="1" si="1"/>
        <v>61</v>
      </c>
      <c r="K76" s="14">
        <f t="shared" ca="1" si="0"/>
        <v>9</v>
      </c>
    </row>
    <row r="77" spans="1:11" ht="12.75" customHeight="1" x14ac:dyDescent="0.3">
      <c r="A77" s="9">
        <v>1063</v>
      </c>
      <c r="B77" s="10" t="s">
        <v>156</v>
      </c>
      <c r="C77" s="10" t="s">
        <v>157</v>
      </c>
      <c r="D77" s="11">
        <v>3712</v>
      </c>
      <c r="E77" s="11" t="s">
        <v>14</v>
      </c>
      <c r="F77" s="11" t="s">
        <v>29</v>
      </c>
      <c r="G77" s="12">
        <v>16978.28</v>
      </c>
      <c r="H77" s="11" t="s">
        <v>16</v>
      </c>
      <c r="I77" s="13">
        <v>28698</v>
      </c>
      <c r="J77" s="14">
        <f t="shared" ca="1" si="1"/>
        <v>47</v>
      </c>
      <c r="K77" s="14">
        <f t="shared" ca="1" si="0"/>
        <v>6</v>
      </c>
    </row>
    <row r="78" spans="1:11" ht="12.75" customHeight="1" x14ac:dyDescent="0.3">
      <c r="A78" s="9">
        <v>1445</v>
      </c>
      <c r="B78" s="10" t="s">
        <v>158</v>
      </c>
      <c r="C78" s="10" t="s">
        <v>159</v>
      </c>
      <c r="D78" s="11">
        <v>3005</v>
      </c>
      <c r="E78" s="11" t="s">
        <v>23</v>
      </c>
      <c r="F78" s="11" t="s">
        <v>15</v>
      </c>
      <c r="G78" s="12">
        <v>16406.46</v>
      </c>
      <c r="H78" s="11" t="s">
        <v>16</v>
      </c>
      <c r="I78" s="13">
        <v>24045</v>
      </c>
      <c r="J78" s="14">
        <f t="shared" ca="1" si="1"/>
        <v>60</v>
      </c>
      <c r="K78" s="14">
        <f t="shared" ca="1" si="0"/>
        <v>9</v>
      </c>
    </row>
    <row r="79" spans="1:11" ht="12.75" customHeight="1" x14ac:dyDescent="0.3">
      <c r="A79" s="9">
        <v>1087</v>
      </c>
      <c r="B79" s="10" t="s">
        <v>160</v>
      </c>
      <c r="C79" s="10" t="s">
        <v>161</v>
      </c>
      <c r="D79" s="11">
        <v>3780</v>
      </c>
      <c r="E79" s="11" t="s">
        <v>50</v>
      </c>
      <c r="F79" s="11" t="s">
        <v>26</v>
      </c>
      <c r="G79" s="12">
        <v>16018.92</v>
      </c>
      <c r="H79" s="11" t="s">
        <v>20</v>
      </c>
      <c r="I79" s="13">
        <v>28566</v>
      </c>
      <c r="J79" s="14">
        <f t="shared" ca="1" si="1"/>
        <v>47</v>
      </c>
      <c r="K79" s="14">
        <f t="shared" ca="1" si="0"/>
        <v>6</v>
      </c>
    </row>
    <row r="80" spans="1:11" ht="12.75" customHeight="1" x14ac:dyDescent="0.3">
      <c r="A80" s="9">
        <v>1247</v>
      </c>
      <c r="B80" s="10" t="s">
        <v>162</v>
      </c>
      <c r="C80" s="10" t="s">
        <v>163</v>
      </c>
      <c r="D80" s="11">
        <v>3631</v>
      </c>
      <c r="E80" s="11" t="s">
        <v>14</v>
      </c>
      <c r="F80" s="11" t="s">
        <v>15</v>
      </c>
      <c r="G80" s="12">
        <v>7539.83</v>
      </c>
      <c r="H80" s="11" t="s">
        <v>16</v>
      </c>
      <c r="I80" s="13">
        <v>23218</v>
      </c>
      <c r="J80" s="14">
        <f t="shared" ca="1" si="1"/>
        <v>62</v>
      </c>
      <c r="K80" s="14">
        <f t="shared" ca="1" si="0"/>
        <v>9</v>
      </c>
    </row>
    <row r="81" spans="1:11" ht="12.75" customHeight="1" x14ac:dyDescent="0.3">
      <c r="A81" s="9">
        <v>1195</v>
      </c>
      <c r="B81" s="10" t="s">
        <v>164</v>
      </c>
      <c r="C81" s="10" t="s">
        <v>165</v>
      </c>
      <c r="D81" s="11">
        <v>3108</v>
      </c>
      <c r="E81" s="11" t="s">
        <v>19</v>
      </c>
      <c r="F81" s="11" t="s">
        <v>29</v>
      </c>
      <c r="G81" s="12">
        <v>6859.76</v>
      </c>
      <c r="H81" s="11" t="s">
        <v>20</v>
      </c>
      <c r="I81" s="13">
        <v>26241</v>
      </c>
      <c r="J81" s="14">
        <f t="shared" ca="1" si="1"/>
        <v>54</v>
      </c>
      <c r="K81" s="14">
        <f t="shared" ca="1" si="0"/>
        <v>7</v>
      </c>
    </row>
    <row r="82" spans="1:11" ht="12.75" customHeight="1" x14ac:dyDescent="0.3">
      <c r="A82" s="9">
        <v>1425</v>
      </c>
      <c r="B82" s="10" t="s">
        <v>166</v>
      </c>
      <c r="C82" s="10" t="s">
        <v>167</v>
      </c>
      <c r="D82" s="11">
        <v>3068</v>
      </c>
      <c r="E82" s="11" t="s">
        <v>14</v>
      </c>
      <c r="F82" s="11" t="s">
        <v>15</v>
      </c>
      <c r="G82" s="12">
        <v>19994.91</v>
      </c>
      <c r="H82" s="11" t="s">
        <v>20</v>
      </c>
      <c r="I82" s="13">
        <v>20508</v>
      </c>
      <c r="J82" s="14">
        <f t="shared" ca="1" si="1"/>
        <v>70</v>
      </c>
      <c r="K82" s="14">
        <f t="shared" ca="1" si="0"/>
        <v>11</v>
      </c>
    </row>
    <row r="83" spans="1:11" ht="12.75" customHeight="1" x14ac:dyDescent="0.3">
      <c r="A83" s="9">
        <v>1233</v>
      </c>
      <c r="B83" s="10" t="s">
        <v>168</v>
      </c>
      <c r="C83" s="10" t="s">
        <v>169</v>
      </c>
      <c r="D83" s="11">
        <v>3669</v>
      </c>
      <c r="E83" s="11" t="s">
        <v>43</v>
      </c>
      <c r="F83" s="11" t="s">
        <v>29</v>
      </c>
      <c r="G83" s="12">
        <v>7913.25</v>
      </c>
      <c r="H83" s="11" t="s">
        <v>16</v>
      </c>
      <c r="I83" s="13">
        <v>23531</v>
      </c>
      <c r="J83" s="14">
        <f t="shared" ca="1" si="1"/>
        <v>61</v>
      </c>
      <c r="K83" s="14">
        <f t="shared" ca="1" si="0"/>
        <v>9</v>
      </c>
    </row>
    <row r="84" spans="1:11" ht="12.75" customHeight="1" x14ac:dyDescent="0.3">
      <c r="A84" s="9">
        <v>1315</v>
      </c>
      <c r="B84" s="10" t="s">
        <v>170</v>
      </c>
      <c r="C84" s="10" t="s">
        <v>63</v>
      </c>
      <c r="D84" s="11">
        <v>3822</v>
      </c>
      <c r="E84" s="11" t="s">
        <v>43</v>
      </c>
      <c r="F84" s="11" t="s">
        <v>29</v>
      </c>
      <c r="G84" s="12">
        <v>8135.96</v>
      </c>
      <c r="H84" s="11" t="s">
        <v>16</v>
      </c>
      <c r="I84" s="13">
        <v>21841</v>
      </c>
      <c r="J84" s="14">
        <f t="shared" ca="1" si="1"/>
        <v>66</v>
      </c>
      <c r="K84" s="14">
        <f t="shared" ca="1" si="0"/>
        <v>10</v>
      </c>
    </row>
    <row r="85" spans="1:11" ht="12.75" customHeight="1" x14ac:dyDescent="0.3">
      <c r="A85" s="9">
        <v>1203</v>
      </c>
      <c r="B85" s="10" t="s">
        <v>171</v>
      </c>
      <c r="C85" s="10" t="s">
        <v>94</v>
      </c>
      <c r="D85" s="11">
        <v>3119</v>
      </c>
      <c r="E85" s="11" t="s">
        <v>50</v>
      </c>
      <c r="F85" s="11" t="s">
        <v>15</v>
      </c>
      <c r="G85" s="12">
        <v>19196.21</v>
      </c>
      <c r="H85" s="11" t="s">
        <v>16</v>
      </c>
      <c r="I85" s="13">
        <v>25889</v>
      </c>
      <c r="J85" s="14">
        <f t="shared" ca="1" si="1"/>
        <v>55</v>
      </c>
      <c r="K85" s="14">
        <f t="shared" ca="1" si="0"/>
        <v>8</v>
      </c>
    </row>
    <row r="86" spans="1:11" ht="12.75" customHeight="1" x14ac:dyDescent="0.3">
      <c r="A86" s="9">
        <v>1357</v>
      </c>
      <c r="B86" s="10" t="s">
        <v>172</v>
      </c>
      <c r="C86" s="10" t="s">
        <v>173</v>
      </c>
      <c r="D86" s="11">
        <v>3152</v>
      </c>
      <c r="E86" s="11" t="s">
        <v>14</v>
      </c>
      <c r="F86" s="11" t="s">
        <v>15</v>
      </c>
      <c r="G86" s="12">
        <v>11830.22</v>
      </c>
      <c r="H86" s="11" t="s">
        <v>16</v>
      </c>
      <c r="I86" s="13">
        <v>21417</v>
      </c>
      <c r="J86" s="14">
        <f t="shared" ca="1" si="1"/>
        <v>67</v>
      </c>
      <c r="K86" s="14">
        <f t="shared" ca="1" si="0"/>
        <v>10</v>
      </c>
    </row>
    <row r="87" spans="1:11" ht="12.75" customHeight="1" x14ac:dyDescent="0.3">
      <c r="A87" s="9">
        <v>1485</v>
      </c>
      <c r="B87" s="10" t="s">
        <v>174</v>
      </c>
      <c r="C87" s="10" t="s">
        <v>175</v>
      </c>
      <c r="D87" s="11">
        <v>3259</v>
      </c>
      <c r="E87" s="11" t="s">
        <v>50</v>
      </c>
      <c r="F87" s="11" t="s">
        <v>38</v>
      </c>
      <c r="G87" s="12">
        <v>12720.76</v>
      </c>
      <c r="H87" s="11" t="s">
        <v>16</v>
      </c>
      <c r="I87" s="13">
        <v>23206</v>
      </c>
      <c r="J87" s="14">
        <f t="shared" ca="1" si="1"/>
        <v>62</v>
      </c>
      <c r="K87" s="14">
        <f t="shared" ca="1" si="0"/>
        <v>9</v>
      </c>
    </row>
    <row r="88" spans="1:11" ht="12.75" customHeight="1" x14ac:dyDescent="0.3">
      <c r="A88" s="9">
        <v>1381</v>
      </c>
      <c r="B88" s="10" t="s">
        <v>176</v>
      </c>
      <c r="C88" s="10" t="s">
        <v>163</v>
      </c>
      <c r="D88" s="11">
        <v>3727</v>
      </c>
      <c r="E88" s="11" t="s">
        <v>14</v>
      </c>
      <c r="F88" s="11" t="s">
        <v>15</v>
      </c>
      <c r="G88" s="12">
        <v>9121.43</v>
      </c>
      <c r="H88" s="11" t="s">
        <v>16</v>
      </c>
      <c r="I88" s="13">
        <v>21109</v>
      </c>
      <c r="J88" s="14">
        <f t="shared" ca="1" si="1"/>
        <v>68</v>
      </c>
      <c r="K88" s="14">
        <f t="shared" ca="1" si="0"/>
        <v>10</v>
      </c>
    </row>
    <row r="89" spans="1:11" ht="12.75" customHeight="1" x14ac:dyDescent="0.3">
      <c r="A89" s="9">
        <v>1027</v>
      </c>
      <c r="B89" s="10" t="s">
        <v>177</v>
      </c>
      <c r="C89" s="10" t="s">
        <v>178</v>
      </c>
      <c r="D89" s="11">
        <v>3113</v>
      </c>
      <c r="E89" s="11" t="s">
        <v>14</v>
      </c>
      <c r="F89" s="11" t="s">
        <v>29</v>
      </c>
      <c r="G89" s="12">
        <v>7850</v>
      </c>
      <c r="H89" s="11" t="s">
        <v>20</v>
      </c>
      <c r="I89" s="13">
        <v>30740</v>
      </c>
      <c r="J89" s="14">
        <f t="shared" ca="1" si="1"/>
        <v>42</v>
      </c>
      <c r="K89" s="14">
        <f t="shared" ca="1" si="0"/>
        <v>5</v>
      </c>
    </row>
    <row r="90" spans="1:11" ht="12.75" customHeight="1" x14ac:dyDescent="0.3">
      <c r="A90" s="9">
        <v>1117</v>
      </c>
      <c r="B90" s="10" t="s">
        <v>179</v>
      </c>
      <c r="C90" s="10" t="s">
        <v>180</v>
      </c>
      <c r="D90" s="11">
        <v>3647</v>
      </c>
      <c r="E90" s="11" t="s">
        <v>50</v>
      </c>
      <c r="F90" s="11" t="s">
        <v>26</v>
      </c>
      <c r="G90" s="12">
        <v>16403.86</v>
      </c>
      <c r="H90" s="11" t="s">
        <v>16</v>
      </c>
      <c r="I90" s="13">
        <v>27733</v>
      </c>
      <c r="J90" s="14">
        <f t="shared" ca="1" si="1"/>
        <v>50</v>
      </c>
      <c r="K90" s="14">
        <f t="shared" ca="1" si="0"/>
        <v>7</v>
      </c>
    </row>
    <row r="91" spans="1:11" ht="12.75" customHeight="1" x14ac:dyDescent="0.3">
      <c r="A91" s="9">
        <v>1101</v>
      </c>
      <c r="B91" s="10" t="s">
        <v>181</v>
      </c>
      <c r="C91" s="10" t="s">
        <v>182</v>
      </c>
      <c r="D91" s="11">
        <v>3114</v>
      </c>
      <c r="E91" s="11" t="s">
        <v>50</v>
      </c>
      <c r="F91" s="11" t="s">
        <v>26</v>
      </c>
      <c r="G91" s="12">
        <v>6841.79</v>
      </c>
      <c r="H91" s="11" t="s">
        <v>20</v>
      </c>
      <c r="I91" s="13">
        <v>27933</v>
      </c>
      <c r="J91" s="14">
        <f t="shared" ca="1" si="1"/>
        <v>49</v>
      </c>
      <c r="K91" s="14">
        <f t="shared" ca="1" si="0"/>
        <v>6</v>
      </c>
    </row>
    <row r="92" spans="1:11" ht="12.75" customHeight="1" x14ac:dyDescent="0.3">
      <c r="A92" s="9">
        <v>1557</v>
      </c>
      <c r="B92" s="10" t="s">
        <v>183</v>
      </c>
      <c r="C92" s="10" t="s">
        <v>184</v>
      </c>
      <c r="D92" s="11">
        <v>3075</v>
      </c>
      <c r="E92" s="11" t="s">
        <v>43</v>
      </c>
      <c r="F92" s="11" t="s">
        <v>29</v>
      </c>
      <c r="G92" s="12">
        <v>13755.92</v>
      </c>
      <c r="H92" s="11" t="s">
        <v>16</v>
      </c>
      <c r="I92" s="13">
        <v>25245</v>
      </c>
      <c r="J92" s="14">
        <f t="shared" ca="1" si="1"/>
        <v>57</v>
      </c>
      <c r="K92" s="14">
        <f t="shared" ca="1" si="0"/>
        <v>8</v>
      </c>
    </row>
    <row r="93" spans="1:11" ht="12.75" customHeight="1" x14ac:dyDescent="0.3">
      <c r="A93" s="9">
        <v>1183</v>
      </c>
      <c r="B93" s="10" t="s">
        <v>185</v>
      </c>
      <c r="C93" s="10" t="s">
        <v>40</v>
      </c>
      <c r="D93" s="11">
        <v>3592</v>
      </c>
      <c r="E93" s="11" t="s">
        <v>19</v>
      </c>
      <c r="F93" s="11" t="s">
        <v>29</v>
      </c>
      <c r="G93" s="12">
        <v>11573.08</v>
      </c>
      <c r="H93" s="11" t="s">
        <v>20</v>
      </c>
      <c r="I93" s="13">
        <v>26611</v>
      </c>
      <c r="J93" s="14">
        <f t="shared" ca="1" si="1"/>
        <v>53</v>
      </c>
      <c r="K93" s="14">
        <f t="shared" ca="1" si="0"/>
        <v>7</v>
      </c>
    </row>
    <row r="94" spans="1:11" ht="12.75" customHeight="1" x14ac:dyDescent="0.3">
      <c r="A94" s="9">
        <v>1383</v>
      </c>
      <c r="B94" s="10" t="s">
        <v>185</v>
      </c>
      <c r="C94" s="10" t="s">
        <v>45</v>
      </c>
      <c r="D94" s="11">
        <v>3637</v>
      </c>
      <c r="E94" s="11" t="s">
        <v>19</v>
      </c>
      <c r="F94" s="11" t="s">
        <v>29</v>
      </c>
      <c r="G94" s="12">
        <v>20488.72</v>
      </c>
      <c r="H94" s="11" t="s">
        <v>16</v>
      </c>
      <c r="I94" s="13">
        <v>21043</v>
      </c>
      <c r="J94" s="14">
        <f t="shared" ca="1" si="1"/>
        <v>68</v>
      </c>
      <c r="K94" s="14">
        <f t="shared" ca="1" si="0"/>
        <v>10</v>
      </c>
    </row>
    <row r="95" spans="1:11" ht="12.75" customHeight="1" x14ac:dyDescent="0.3">
      <c r="A95" s="9">
        <v>1559</v>
      </c>
      <c r="B95" s="10" t="s">
        <v>186</v>
      </c>
      <c r="C95" s="10" t="s">
        <v>178</v>
      </c>
      <c r="D95" s="11">
        <v>3667</v>
      </c>
      <c r="E95" s="11" t="s">
        <v>19</v>
      </c>
      <c r="F95" s="11" t="s">
        <v>29</v>
      </c>
      <c r="G95" s="12">
        <v>10088.36</v>
      </c>
      <c r="H95" s="11" t="s">
        <v>20</v>
      </c>
      <c r="I95" s="13">
        <v>25262</v>
      </c>
      <c r="J95" s="14">
        <f t="shared" ca="1" si="1"/>
        <v>57</v>
      </c>
      <c r="K95" s="14">
        <f t="shared" ca="1" si="0"/>
        <v>8</v>
      </c>
    </row>
    <row r="96" spans="1:11" ht="12.75" customHeight="1" x14ac:dyDescent="0.3">
      <c r="A96" s="9">
        <v>1497</v>
      </c>
      <c r="B96" s="10" t="s">
        <v>187</v>
      </c>
      <c r="C96" s="10" t="s">
        <v>188</v>
      </c>
      <c r="D96" s="11">
        <v>3819</v>
      </c>
      <c r="E96" s="11" t="s">
        <v>14</v>
      </c>
      <c r="F96" s="11" t="s">
        <v>29</v>
      </c>
      <c r="G96" s="12">
        <v>14794.54</v>
      </c>
      <c r="H96" s="11" t="s">
        <v>16</v>
      </c>
      <c r="I96" s="13">
        <v>22795</v>
      </c>
      <c r="J96" s="14">
        <f t="shared" ca="1" si="1"/>
        <v>63</v>
      </c>
      <c r="K96" s="14">
        <f t="shared" ca="1" si="0"/>
        <v>9</v>
      </c>
    </row>
    <row r="97" spans="1:11" ht="12.75" customHeight="1" x14ac:dyDescent="0.3">
      <c r="A97" s="9">
        <v>1317</v>
      </c>
      <c r="B97" s="10" t="s">
        <v>189</v>
      </c>
      <c r="C97" s="10" t="s">
        <v>129</v>
      </c>
      <c r="D97" s="11">
        <v>3172</v>
      </c>
      <c r="E97" s="11" t="s">
        <v>19</v>
      </c>
      <c r="F97" s="11" t="s">
        <v>15</v>
      </c>
      <c r="G97" s="12">
        <v>12901.68</v>
      </c>
      <c r="H97" s="11" t="s">
        <v>16</v>
      </c>
      <c r="I97" s="13">
        <v>21780</v>
      </c>
      <c r="J97" s="14">
        <f t="shared" ca="1" si="1"/>
        <v>66</v>
      </c>
      <c r="K97" s="14">
        <f t="shared" ca="1" si="0"/>
        <v>10</v>
      </c>
    </row>
    <row r="98" spans="1:11" ht="12.75" customHeight="1" x14ac:dyDescent="0.3">
      <c r="A98" s="9">
        <v>1285</v>
      </c>
      <c r="B98" s="10" t="s">
        <v>190</v>
      </c>
      <c r="C98" s="10" t="s">
        <v>191</v>
      </c>
      <c r="D98" s="11">
        <v>3717</v>
      </c>
      <c r="E98" s="11" t="s">
        <v>19</v>
      </c>
      <c r="F98" s="11" t="s">
        <v>29</v>
      </c>
      <c r="G98" s="12">
        <v>20981.38</v>
      </c>
      <c r="H98" s="11" t="s">
        <v>20</v>
      </c>
      <c r="I98" s="13">
        <v>22628</v>
      </c>
      <c r="J98" s="14">
        <f t="shared" ca="1" si="1"/>
        <v>64</v>
      </c>
      <c r="K98" s="14">
        <f t="shared" ca="1" si="0"/>
        <v>9</v>
      </c>
    </row>
    <row r="99" spans="1:11" ht="12.75" customHeight="1" x14ac:dyDescent="0.3">
      <c r="A99" s="9">
        <v>1405</v>
      </c>
      <c r="B99" s="10" t="s">
        <v>192</v>
      </c>
      <c r="C99" s="10" t="s">
        <v>193</v>
      </c>
      <c r="D99" s="11">
        <v>3673</v>
      </c>
      <c r="E99" s="11" t="s">
        <v>19</v>
      </c>
      <c r="F99" s="11" t="s">
        <v>15</v>
      </c>
      <c r="G99" s="12">
        <v>9807.73</v>
      </c>
      <c r="H99" s="11" t="s">
        <v>16</v>
      </c>
      <c r="I99" s="13">
        <v>20940</v>
      </c>
      <c r="J99" s="14">
        <f t="shared" ca="1" si="1"/>
        <v>68</v>
      </c>
      <c r="K99" s="14">
        <f t="shared" ca="1" si="0"/>
        <v>10</v>
      </c>
    </row>
    <row r="100" spans="1:11" ht="12.75" customHeight="1" x14ac:dyDescent="0.3">
      <c r="A100" s="9">
        <v>1249</v>
      </c>
      <c r="B100" s="10" t="s">
        <v>194</v>
      </c>
      <c r="C100" s="10" t="s">
        <v>142</v>
      </c>
      <c r="D100" s="11">
        <v>3861</v>
      </c>
      <c r="E100" s="11" t="s">
        <v>50</v>
      </c>
      <c r="F100" s="11" t="s">
        <v>15</v>
      </c>
      <c r="G100" s="12">
        <v>20593.169999999998</v>
      </c>
      <c r="H100" s="11" t="s">
        <v>16</v>
      </c>
      <c r="I100" s="13">
        <v>23381</v>
      </c>
      <c r="J100" s="14">
        <f t="shared" ca="1" si="1"/>
        <v>62</v>
      </c>
      <c r="K100" s="14">
        <f t="shared" ca="1" si="0"/>
        <v>9</v>
      </c>
    </row>
    <row r="101" spans="1:11" ht="12.75" customHeight="1" x14ac:dyDescent="0.3">
      <c r="A101" s="9">
        <v>1251</v>
      </c>
      <c r="B101" s="10" t="s">
        <v>195</v>
      </c>
      <c r="C101" s="10" t="s">
        <v>148</v>
      </c>
      <c r="D101" s="11">
        <v>3557</v>
      </c>
      <c r="E101" s="11" t="s">
        <v>19</v>
      </c>
      <c r="F101" s="11" t="s">
        <v>15</v>
      </c>
      <c r="G101" s="12">
        <v>9848.66</v>
      </c>
      <c r="H101" s="11" t="s">
        <v>20</v>
      </c>
      <c r="I101" s="13">
        <v>23243</v>
      </c>
      <c r="J101" s="14">
        <f t="shared" ca="1" si="1"/>
        <v>62</v>
      </c>
      <c r="K101" s="14">
        <f t="shared" ca="1" si="0"/>
        <v>9</v>
      </c>
    </row>
    <row r="102" spans="1:11" ht="12.75" customHeight="1" x14ac:dyDescent="0.3">
      <c r="A102" s="9">
        <v>1487</v>
      </c>
      <c r="B102" s="10" t="s">
        <v>196</v>
      </c>
      <c r="C102" s="10" t="s">
        <v>197</v>
      </c>
      <c r="D102" s="11">
        <v>3417</v>
      </c>
      <c r="E102" s="11" t="s">
        <v>19</v>
      </c>
      <c r="F102" s="11" t="s">
        <v>15</v>
      </c>
      <c r="G102" s="12">
        <v>11356.82</v>
      </c>
      <c r="H102" s="11" t="s">
        <v>16</v>
      </c>
      <c r="I102" s="13">
        <v>23452</v>
      </c>
      <c r="J102" s="14">
        <f t="shared" ca="1" si="1"/>
        <v>61</v>
      </c>
      <c r="K102" s="14">
        <f t="shared" ca="1" si="0"/>
        <v>9</v>
      </c>
    </row>
    <row r="103" spans="1:11" ht="12.75" customHeight="1" x14ac:dyDescent="0.3">
      <c r="A103" s="9">
        <v>1515</v>
      </c>
      <c r="B103" s="10" t="s">
        <v>198</v>
      </c>
      <c r="C103" s="10" t="s">
        <v>199</v>
      </c>
      <c r="D103" s="11">
        <v>3983</v>
      </c>
      <c r="E103" s="11" t="s">
        <v>23</v>
      </c>
      <c r="F103" s="11" t="s">
        <v>15</v>
      </c>
      <c r="G103" s="12">
        <v>6325.15</v>
      </c>
      <c r="H103" s="11" t="s">
        <v>16</v>
      </c>
      <c r="I103" s="13">
        <v>26186</v>
      </c>
      <c r="J103" s="14">
        <f t="shared" ca="1" si="1"/>
        <v>54</v>
      </c>
      <c r="K103" s="14">
        <f t="shared" ca="1" si="0"/>
        <v>7</v>
      </c>
    </row>
    <row r="104" spans="1:11" ht="12.75" customHeight="1" x14ac:dyDescent="0.3">
      <c r="A104" s="9">
        <v>1489</v>
      </c>
      <c r="B104" s="10" t="s">
        <v>200</v>
      </c>
      <c r="C104" s="10" t="s">
        <v>201</v>
      </c>
      <c r="D104" s="11">
        <v>3118</v>
      </c>
      <c r="E104" s="11" t="s">
        <v>43</v>
      </c>
      <c r="F104" s="11" t="s">
        <v>29</v>
      </c>
      <c r="G104" s="12">
        <v>13524.85</v>
      </c>
      <c r="H104" s="11" t="s">
        <v>16</v>
      </c>
      <c r="I104" s="13">
        <v>23236</v>
      </c>
      <c r="J104" s="14">
        <f t="shared" ca="1" si="1"/>
        <v>62</v>
      </c>
      <c r="K104" s="14">
        <f t="shared" ca="1" si="0"/>
        <v>9</v>
      </c>
    </row>
    <row r="105" spans="1:11" ht="12.75" customHeight="1" x14ac:dyDescent="0.3">
      <c r="A105" s="9">
        <v>1475</v>
      </c>
      <c r="B105" s="10" t="s">
        <v>202</v>
      </c>
      <c r="C105" s="10" t="s">
        <v>203</v>
      </c>
      <c r="D105" s="11">
        <v>3157</v>
      </c>
      <c r="E105" s="11" t="s">
        <v>14</v>
      </c>
      <c r="F105" s="11" t="s">
        <v>29</v>
      </c>
      <c r="G105" s="12">
        <v>7516.32</v>
      </c>
      <c r="H105" s="11" t="s">
        <v>16</v>
      </c>
      <c r="I105" s="13">
        <v>23554</v>
      </c>
      <c r="J105" s="14">
        <f t="shared" ca="1" si="1"/>
        <v>61</v>
      </c>
      <c r="K105" s="14">
        <f t="shared" ca="1" si="0"/>
        <v>9</v>
      </c>
    </row>
    <row r="106" spans="1:11" ht="12.75" customHeight="1" x14ac:dyDescent="0.3">
      <c r="A106" s="9">
        <v>1319</v>
      </c>
      <c r="B106" s="10" t="s">
        <v>204</v>
      </c>
      <c r="C106" s="10" t="s">
        <v>205</v>
      </c>
      <c r="D106" s="11">
        <v>3736</v>
      </c>
      <c r="E106" s="11" t="s">
        <v>19</v>
      </c>
      <c r="F106" s="11" t="s">
        <v>38</v>
      </c>
      <c r="G106" s="12">
        <v>16859.03</v>
      </c>
      <c r="H106" s="11" t="s">
        <v>16</v>
      </c>
      <c r="I106" s="13">
        <v>21818</v>
      </c>
      <c r="J106" s="14">
        <f t="shared" ca="1" si="1"/>
        <v>66</v>
      </c>
      <c r="K106" s="14">
        <f t="shared" ca="1" si="0"/>
        <v>10</v>
      </c>
    </row>
    <row r="107" spans="1:11" ht="12.75" customHeight="1" x14ac:dyDescent="0.3">
      <c r="A107" s="9">
        <v>1531</v>
      </c>
      <c r="B107" s="10" t="s">
        <v>204</v>
      </c>
      <c r="C107" s="10" t="s">
        <v>206</v>
      </c>
      <c r="D107" s="11">
        <v>3984</v>
      </c>
      <c r="E107" s="11" t="s">
        <v>19</v>
      </c>
      <c r="F107" s="11" t="s">
        <v>15</v>
      </c>
      <c r="G107" s="12">
        <v>20947.330000000002</v>
      </c>
      <c r="H107" s="11" t="s">
        <v>16</v>
      </c>
      <c r="I107" s="13">
        <v>26012</v>
      </c>
      <c r="J107" s="14">
        <f t="shared" ca="1" si="1"/>
        <v>54</v>
      </c>
      <c r="K107" s="14">
        <f t="shared" ca="1" si="0"/>
        <v>7</v>
      </c>
    </row>
    <row r="108" spans="1:11" ht="12.75" customHeight="1" x14ac:dyDescent="0.3">
      <c r="A108" s="9">
        <v>1045</v>
      </c>
      <c r="B108" s="10" t="s">
        <v>207</v>
      </c>
      <c r="C108" s="10" t="s">
        <v>208</v>
      </c>
      <c r="D108" s="11">
        <v>3122</v>
      </c>
      <c r="E108" s="11" t="s">
        <v>43</v>
      </c>
      <c r="F108" s="11" t="s">
        <v>29</v>
      </c>
      <c r="G108" s="12">
        <v>13665.11</v>
      </c>
      <c r="H108" s="11" t="s">
        <v>16</v>
      </c>
      <c r="I108" s="13">
        <v>29588</v>
      </c>
      <c r="J108" s="14">
        <f t="shared" ca="1" si="1"/>
        <v>45</v>
      </c>
      <c r="K108" s="14">
        <f t="shared" ca="1" si="0"/>
        <v>6</v>
      </c>
    </row>
    <row r="109" spans="1:11" ht="12.75" customHeight="1" x14ac:dyDescent="0.3">
      <c r="A109" s="9">
        <v>1287</v>
      </c>
      <c r="B109" s="10" t="s">
        <v>209</v>
      </c>
      <c r="C109" s="10" t="s">
        <v>210</v>
      </c>
      <c r="D109" s="11">
        <v>3137</v>
      </c>
      <c r="E109" s="11" t="s">
        <v>23</v>
      </c>
      <c r="F109" s="11" t="s">
        <v>15</v>
      </c>
      <c r="G109" s="12">
        <v>18686.79</v>
      </c>
      <c r="H109" s="11" t="s">
        <v>16</v>
      </c>
      <c r="I109" s="13">
        <v>22440</v>
      </c>
      <c r="J109" s="14">
        <f t="shared" ca="1" si="1"/>
        <v>64</v>
      </c>
      <c r="K109" s="14">
        <f t="shared" ca="1" si="0"/>
        <v>9</v>
      </c>
    </row>
    <row r="110" spans="1:11" ht="12.75" customHeight="1" x14ac:dyDescent="0.3">
      <c r="A110" s="9">
        <v>1359</v>
      </c>
      <c r="B110" s="10" t="s">
        <v>211</v>
      </c>
      <c r="C110" s="10" t="s">
        <v>212</v>
      </c>
      <c r="D110" s="11">
        <v>3554</v>
      </c>
      <c r="E110" s="11" t="s">
        <v>23</v>
      </c>
      <c r="F110" s="11" t="s">
        <v>15</v>
      </c>
      <c r="G110" s="12">
        <v>20750.52</v>
      </c>
      <c r="H110" s="11" t="s">
        <v>20</v>
      </c>
      <c r="I110" s="13">
        <v>21466</v>
      </c>
      <c r="J110" s="14">
        <f t="shared" ca="1" si="1"/>
        <v>67</v>
      </c>
      <c r="K110" s="14">
        <f t="shared" ca="1" si="0"/>
        <v>10</v>
      </c>
    </row>
    <row r="111" spans="1:11" ht="12.75" customHeight="1" x14ac:dyDescent="0.3">
      <c r="A111" s="9">
        <v>1185</v>
      </c>
      <c r="B111" s="10" t="s">
        <v>213</v>
      </c>
      <c r="C111" s="10" t="s">
        <v>58</v>
      </c>
      <c r="D111" s="11">
        <v>3182</v>
      </c>
      <c r="E111" s="11" t="s">
        <v>14</v>
      </c>
      <c r="F111" s="11" t="s">
        <v>15</v>
      </c>
      <c r="G111" s="12">
        <v>19027.830000000002</v>
      </c>
      <c r="H111" s="11" t="s">
        <v>16</v>
      </c>
      <c r="I111" s="13">
        <v>26772</v>
      </c>
      <c r="J111" s="14">
        <f t="shared" ca="1" si="1"/>
        <v>52</v>
      </c>
      <c r="K111" s="14">
        <f t="shared" ca="1" si="0"/>
        <v>7</v>
      </c>
    </row>
    <row r="112" spans="1:11" ht="12.75" customHeight="1" x14ac:dyDescent="0.3">
      <c r="A112" s="9">
        <v>1047</v>
      </c>
      <c r="B112" s="10" t="s">
        <v>214</v>
      </c>
      <c r="C112" s="10" t="s">
        <v>127</v>
      </c>
      <c r="D112" s="11">
        <v>3093</v>
      </c>
      <c r="E112" s="11" t="s">
        <v>43</v>
      </c>
      <c r="F112" s="11" t="s">
        <v>29</v>
      </c>
      <c r="G112" s="12">
        <v>20499.29</v>
      </c>
      <c r="H112" s="11" t="s">
        <v>16</v>
      </c>
      <c r="I112" s="13">
        <v>29730</v>
      </c>
      <c r="J112" s="14">
        <f t="shared" ca="1" si="1"/>
        <v>44</v>
      </c>
      <c r="K112" s="14">
        <f t="shared" ca="1" si="0"/>
        <v>5</v>
      </c>
    </row>
    <row r="113" spans="1:11" ht="12.75" customHeight="1" x14ac:dyDescent="0.3">
      <c r="A113" s="9">
        <v>1427</v>
      </c>
      <c r="B113" s="10" t="s">
        <v>215</v>
      </c>
      <c r="C113" s="10" t="s">
        <v>71</v>
      </c>
      <c r="D113" s="11">
        <v>3007</v>
      </c>
      <c r="E113" s="11" t="s">
        <v>50</v>
      </c>
      <c r="F113" s="11" t="s">
        <v>26</v>
      </c>
      <c r="G113" s="12">
        <v>20744.77</v>
      </c>
      <c r="H113" s="11" t="s">
        <v>16</v>
      </c>
      <c r="I113" s="13">
        <v>20353</v>
      </c>
      <c r="J113" s="14">
        <f t="shared" ca="1" si="1"/>
        <v>70</v>
      </c>
      <c r="K113" s="14">
        <f t="shared" ca="1" si="0"/>
        <v>11</v>
      </c>
    </row>
    <row r="114" spans="1:11" ht="12.75" customHeight="1" x14ac:dyDescent="0.3">
      <c r="A114" s="9">
        <v>1157</v>
      </c>
      <c r="B114" s="10" t="s">
        <v>216</v>
      </c>
      <c r="C114" s="10" t="s">
        <v>217</v>
      </c>
      <c r="D114" s="11">
        <v>3969</v>
      </c>
      <c r="E114" s="11" t="s">
        <v>50</v>
      </c>
      <c r="F114" s="11" t="s">
        <v>29</v>
      </c>
      <c r="G114" s="12">
        <v>7524.02</v>
      </c>
      <c r="H114" s="11" t="s">
        <v>20</v>
      </c>
      <c r="I114" s="13">
        <v>27127</v>
      </c>
      <c r="J114" s="14">
        <f t="shared" ca="1" si="1"/>
        <v>51</v>
      </c>
      <c r="K114" s="14">
        <f t="shared" ca="1" si="0"/>
        <v>7</v>
      </c>
    </row>
    <row r="115" spans="1:11" ht="12.75" customHeight="1" x14ac:dyDescent="0.3">
      <c r="A115" s="9">
        <v>1137</v>
      </c>
      <c r="B115" s="10" t="s">
        <v>218</v>
      </c>
      <c r="C115" s="10" t="s">
        <v>25</v>
      </c>
      <c r="D115" s="11">
        <v>3112</v>
      </c>
      <c r="E115" s="11" t="s">
        <v>14</v>
      </c>
      <c r="F115" s="11" t="s">
        <v>29</v>
      </c>
      <c r="G115" s="12">
        <v>6616.3</v>
      </c>
      <c r="H115" s="11" t="s">
        <v>16</v>
      </c>
      <c r="I115" s="13">
        <v>27371</v>
      </c>
      <c r="J115" s="14">
        <f t="shared" ca="1" si="1"/>
        <v>51</v>
      </c>
      <c r="K115" s="14">
        <f t="shared" ca="1" si="0"/>
        <v>7</v>
      </c>
    </row>
    <row r="116" spans="1:11" ht="12.75" customHeight="1" x14ac:dyDescent="0.3">
      <c r="A116" s="9">
        <v>1569</v>
      </c>
      <c r="B116" s="10" t="s">
        <v>219</v>
      </c>
      <c r="C116" s="10" t="s">
        <v>220</v>
      </c>
      <c r="D116" s="11">
        <v>3243</v>
      </c>
      <c r="E116" s="11" t="s">
        <v>19</v>
      </c>
      <c r="F116" s="11" t="s">
        <v>29</v>
      </c>
      <c r="G116" s="12">
        <v>16845.23</v>
      </c>
      <c r="H116" s="11" t="s">
        <v>16</v>
      </c>
      <c r="I116" s="13">
        <v>24861</v>
      </c>
      <c r="J116" s="14">
        <f t="shared" ca="1" si="1"/>
        <v>58</v>
      </c>
      <c r="K116" s="14">
        <f t="shared" ca="1" si="0"/>
        <v>8</v>
      </c>
    </row>
    <row r="117" spans="1:11" ht="12.75" customHeight="1" x14ac:dyDescent="0.3">
      <c r="A117" s="9">
        <v>1261</v>
      </c>
      <c r="B117" s="10" t="s">
        <v>221</v>
      </c>
      <c r="C117" s="10" t="s">
        <v>222</v>
      </c>
      <c r="D117" s="11">
        <v>3145</v>
      </c>
      <c r="E117" s="11" t="s">
        <v>19</v>
      </c>
      <c r="F117" s="11" t="s">
        <v>29</v>
      </c>
      <c r="G117" s="12">
        <v>20188.98</v>
      </c>
      <c r="H117" s="11" t="s">
        <v>20</v>
      </c>
      <c r="I117" s="13">
        <v>22946</v>
      </c>
      <c r="J117" s="14">
        <f t="shared" ca="1" si="1"/>
        <v>63</v>
      </c>
      <c r="K117" s="14">
        <f t="shared" ca="1" si="0"/>
        <v>9</v>
      </c>
    </row>
    <row r="118" spans="1:11" ht="12.75" customHeight="1" x14ac:dyDescent="0.3">
      <c r="A118" s="9">
        <v>1321</v>
      </c>
      <c r="B118" s="10" t="s">
        <v>223</v>
      </c>
      <c r="C118" s="10" t="s">
        <v>224</v>
      </c>
      <c r="D118" s="11">
        <v>3581</v>
      </c>
      <c r="E118" s="11" t="s">
        <v>14</v>
      </c>
      <c r="F118" s="11" t="s">
        <v>15</v>
      </c>
      <c r="G118" s="12">
        <v>10337.31</v>
      </c>
      <c r="H118" s="11" t="s">
        <v>16</v>
      </c>
      <c r="I118" s="13">
        <v>21772</v>
      </c>
      <c r="J118" s="14">
        <f t="shared" ca="1" si="1"/>
        <v>66</v>
      </c>
      <c r="K118" s="14">
        <f t="shared" ca="1" si="0"/>
        <v>10</v>
      </c>
    </row>
    <row r="119" spans="1:11" ht="12.75" customHeight="1" x14ac:dyDescent="0.3">
      <c r="A119" s="9">
        <v>1385</v>
      </c>
      <c r="B119" s="10" t="s">
        <v>225</v>
      </c>
      <c r="C119" s="10" t="s">
        <v>226</v>
      </c>
      <c r="D119" s="11">
        <v>3099</v>
      </c>
      <c r="E119" s="11" t="s">
        <v>19</v>
      </c>
      <c r="F119" s="11" t="s">
        <v>15</v>
      </c>
      <c r="G119" s="12">
        <v>11704.55</v>
      </c>
      <c r="H119" s="11" t="s">
        <v>20</v>
      </c>
      <c r="I119" s="13">
        <v>21047</v>
      </c>
      <c r="J119" s="14">
        <f t="shared" ca="1" si="1"/>
        <v>68</v>
      </c>
      <c r="K119" s="14">
        <f t="shared" ca="1" si="0"/>
        <v>10</v>
      </c>
    </row>
    <row r="120" spans="1:11" ht="12.75" customHeight="1" x14ac:dyDescent="0.3">
      <c r="A120" s="9">
        <v>1323</v>
      </c>
      <c r="B120" s="10" t="s">
        <v>227</v>
      </c>
      <c r="C120" s="10" t="s">
        <v>101</v>
      </c>
      <c r="D120" s="11">
        <v>3657</v>
      </c>
      <c r="E120" s="11" t="s">
        <v>19</v>
      </c>
      <c r="F120" s="11" t="s">
        <v>29</v>
      </c>
      <c r="G120" s="12">
        <v>16127.13</v>
      </c>
      <c r="H120" s="11" t="s">
        <v>16</v>
      </c>
      <c r="I120" s="13">
        <v>21875</v>
      </c>
      <c r="J120" s="14">
        <f t="shared" ca="1" si="1"/>
        <v>66</v>
      </c>
      <c r="K120" s="14">
        <f t="shared" ca="1" si="0"/>
        <v>10</v>
      </c>
    </row>
    <row r="121" spans="1:11" ht="12.75" customHeight="1" x14ac:dyDescent="0.3">
      <c r="A121" s="9">
        <v>1447</v>
      </c>
      <c r="B121" s="10" t="s">
        <v>228</v>
      </c>
      <c r="C121" s="10" t="s">
        <v>129</v>
      </c>
      <c r="D121" s="11">
        <v>3882</v>
      </c>
      <c r="E121" s="11" t="s">
        <v>19</v>
      </c>
      <c r="F121" s="11" t="s">
        <v>15</v>
      </c>
      <c r="G121" s="12">
        <v>8578.16</v>
      </c>
      <c r="H121" s="11" t="s">
        <v>16</v>
      </c>
      <c r="I121" s="13">
        <v>20226</v>
      </c>
      <c r="J121" s="14">
        <f t="shared" ca="1" si="1"/>
        <v>70</v>
      </c>
      <c r="K121" s="14">
        <f t="shared" ca="1" si="0"/>
        <v>11</v>
      </c>
    </row>
    <row r="122" spans="1:11" ht="12.75" customHeight="1" x14ac:dyDescent="0.3">
      <c r="A122" s="9">
        <v>1387</v>
      </c>
      <c r="B122" s="10" t="s">
        <v>229</v>
      </c>
      <c r="C122" s="10" t="s">
        <v>230</v>
      </c>
      <c r="D122" s="11">
        <v>3617</v>
      </c>
      <c r="E122" s="11" t="s">
        <v>14</v>
      </c>
      <c r="F122" s="11" t="s">
        <v>29</v>
      </c>
      <c r="G122" s="12">
        <v>9230.2000000000007</v>
      </c>
      <c r="H122" s="11" t="s">
        <v>16</v>
      </c>
      <c r="I122" s="13">
        <v>21306</v>
      </c>
      <c r="J122" s="14">
        <f t="shared" ca="1" si="1"/>
        <v>67</v>
      </c>
      <c r="K122" s="14">
        <f t="shared" ca="1" si="0"/>
        <v>10</v>
      </c>
    </row>
    <row r="123" spans="1:11" ht="12.75" customHeight="1" x14ac:dyDescent="0.3">
      <c r="A123" s="9">
        <v>1325</v>
      </c>
      <c r="B123" s="10" t="s">
        <v>231</v>
      </c>
      <c r="C123" s="10" t="s">
        <v>232</v>
      </c>
      <c r="D123" s="11">
        <v>3116</v>
      </c>
      <c r="E123" s="11" t="s">
        <v>43</v>
      </c>
      <c r="F123" s="11" t="s">
        <v>29</v>
      </c>
      <c r="G123" s="12">
        <v>9110.65</v>
      </c>
      <c r="H123" s="11" t="s">
        <v>20</v>
      </c>
      <c r="I123" s="13">
        <v>21745</v>
      </c>
      <c r="J123" s="14">
        <f t="shared" ca="1" si="1"/>
        <v>66</v>
      </c>
      <c r="K123" s="14">
        <f t="shared" ca="1" si="0"/>
        <v>10</v>
      </c>
    </row>
    <row r="124" spans="1:11" ht="12.75" customHeight="1" x14ac:dyDescent="0.3">
      <c r="A124" s="9">
        <v>1235</v>
      </c>
      <c r="B124" s="10" t="s">
        <v>233</v>
      </c>
      <c r="C124" s="10" t="s">
        <v>31</v>
      </c>
      <c r="D124" s="11">
        <v>3448</v>
      </c>
      <c r="E124" s="11" t="s">
        <v>50</v>
      </c>
      <c r="F124" s="11" t="s">
        <v>29</v>
      </c>
      <c r="G124" s="12">
        <v>7994.24</v>
      </c>
      <c r="H124" s="11" t="s">
        <v>20</v>
      </c>
      <c r="I124" s="13">
        <v>23790</v>
      </c>
      <c r="J124" s="14">
        <f t="shared" ca="1" si="1"/>
        <v>61</v>
      </c>
      <c r="K124" s="14">
        <f t="shared" ca="1" si="0"/>
        <v>9</v>
      </c>
    </row>
    <row r="125" spans="1:11" ht="12.75" customHeight="1" x14ac:dyDescent="0.3">
      <c r="A125" s="9">
        <v>1327</v>
      </c>
      <c r="B125" s="10" t="s">
        <v>234</v>
      </c>
      <c r="C125" s="10" t="s">
        <v>127</v>
      </c>
      <c r="D125" s="11">
        <v>3085</v>
      </c>
      <c r="E125" s="11" t="s">
        <v>43</v>
      </c>
      <c r="F125" s="11" t="s">
        <v>29</v>
      </c>
      <c r="G125" s="12">
        <v>18874.39</v>
      </c>
      <c r="H125" s="11" t="s">
        <v>16</v>
      </c>
      <c r="I125" s="13">
        <v>21805</v>
      </c>
      <c r="J125" s="14">
        <f t="shared" ca="1" si="1"/>
        <v>66</v>
      </c>
      <c r="K125" s="14">
        <f t="shared" ca="1" si="0"/>
        <v>10</v>
      </c>
    </row>
    <row r="126" spans="1:11" ht="12.75" customHeight="1" x14ac:dyDescent="0.3">
      <c r="A126" s="9">
        <v>1159</v>
      </c>
      <c r="B126" s="10" t="s">
        <v>235</v>
      </c>
      <c r="C126" s="10" t="s">
        <v>236</v>
      </c>
      <c r="D126" s="11">
        <v>3679</v>
      </c>
      <c r="E126" s="11" t="s">
        <v>14</v>
      </c>
      <c r="F126" s="11" t="s">
        <v>29</v>
      </c>
      <c r="G126" s="12">
        <v>17751.490000000002</v>
      </c>
      <c r="H126" s="11" t="s">
        <v>16</v>
      </c>
      <c r="I126" s="13">
        <v>26906</v>
      </c>
      <c r="J126" s="14">
        <f t="shared" ca="1" si="1"/>
        <v>52</v>
      </c>
      <c r="K126" s="14">
        <f t="shared" ca="1" si="0"/>
        <v>7</v>
      </c>
    </row>
    <row r="127" spans="1:11" ht="12.75" customHeight="1" x14ac:dyDescent="0.3">
      <c r="A127" s="9">
        <v>1361</v>
      </c>
      <c r="B127" s="10" t="s">
        <v>237</v>
      </c>
      <c r="C127" s="10" t="s">
        <v>238</v>
      </c>
      <c r="D127" s="11">
        <v>3824</v>
      </c>
      <c r="E127" s="11" t="s">
        <v>14</v>
      </c>
      <c r="F127" s="11" t="s">
        <v>29</v>
      </c>
      <c r="G127" s="12">
        <v>13583.54</v>
      </c>
      <c r="H127" s="11" t="s">
        <v>20</v>
      </c>
      <c r="I127" s="13">
        <v>21405</v>
      </c>
      <c r="J127" s="14">
        <f t="shared" ca="1" si="1"/>
        <v>67</v>
      </c>
      <c r="K127" s="14">
        <f t="shared" ca="1" si="0"/>
        <v>10</v>
      </c>
    </row>
    <row r="128" spans="1:11" ht="12.75" customHeight="1" x14ac:dyDescent="0.3">
      <c r="A128" s="9">
        <v>1197</v>
      </c>
      <c r="B128" s="10" t="s">
        <v>239</v>
      </c>
      <c r="C128" s="10" t="s">
        <v>240</v>
      </c>
      <c r="D128" s="11">
        <v>3589</v>
      </c>
      <c r="E128" s="11" t="s">
        <v>19</v>
      </c>
      <c r="F128" s="11" t="s">
        <v>15</v>
      </c>
      <c r="G128" s="12">
        <v>19575.28</v>
      </c>
      <c r="H128" s="11" t="s">
        <v>16</v>
      </c>
      <c r="I128" s="13">
        <v>26312</v>
      </c>
      <c r="J128" s="14">
        <f t="shared" ca="1" si="1"/>
        <v>54</v>
      </c>
      <c r="K128" s="14">
        <f t="shared" ca="1" si="0"/>
        <v>7</v>
      </c>
    </row>
    <row r="129" spans="1:11" ht="12.75" customHeight="1" x14ac:dyDescent="0.3">
      <c r="A129" s="9">
        <v>1237</v>
      </c>
      <c r="B129" s="10" t="s">
        <v>241</v>
      </c>
      <c r="C129" s="10" t="s">
        <v>136</v>
      </c>
      <c r="D129" s="11">
        <v>3175</v>
      </c>
      <c r="E129" s="11" t="s">
        <v>14</v>
      </c>
      <c r="F129" s="11" t="s">
        <v>29</v>
      </c>
      <c r="G129" s="12">
        <v>12019.26</v>
      </c>
      <c r="H129" s="11" t="s">
        <v>16</v>
      </c>
      <c r="I129" s="13">
        <v>23788</v>
      </c>
      <c r="J129" s="14">
        <f t="shared" ca="1" si="1"/>
        <v>61</v>
      </c>
      <c r="K129" s="14">
        <f t="shared" ca="1" si="0"/>
        <v>9</v>
      </c>
    </row>
    <row r="130" spans="1:11" ht="12.75" customHeight="1" x14ac:dyDescent="0.3">
      <c r="A130" s="9">
        <v>1329</v>
      </c>
      <c r="B130" s="10" t="s">
        <v>242</v>
      </c>
      <c r="C130" s="10" t="s">
        <v>25</v>
      </c>
      <c r="D130" s="11">
        <v>3126</v>
      </c>
      <c r="E130" s="11" t="s">
        <v>14</v>
      </c>
      <c r="F130" s="11" t="s">
        <v>29</v>
      </c>
      <c r="G130" s="12">
        <v>12104.06</v>
      </c>
      <c r="H130" s="11" t="s">
        <v>16</v>
      </c>
      <c r="I130" s="13">
        <v>21753</v>
      </c>
      <c r="J130" s="14">
        <f t="shared" ca="1" si="1"/>
        <v>66</v>
      </c>
      <c r="K130" s="14">
        <f t="shared" ca="1" si="0"/>
        <v>10</v>
      </c>
    </row>
    <row r="131" spans="1:11" ht="12.75" customHeight="1" x14ac:dyDescent="0.3">
      <c r="A131" s="9">
        <v>1089</v>
      </c>
      <c r="B131" s="10" t="s">
        <v>243</v>
      </c>
      <c r="C131" s="10" t="s">
        <v>108</v>
      </c>
      <c r="D131" s="11">
        <v>3151</v>
      </c>
      <c r="E131" s="11" t="s">
        <v>19</v>
      </c>
      <c r="F131" s="11" t="s">
        <v>29</v>
      </c>
      <c r="G131" s="12">
        <v>17112.169999999998</v>
      </c>
      <c r="H131" s="11" t="s">
        <v>16</v>
      </c>
      <c r="I131" s="13">
        <v>28338</v>
      </c>
      <c r="J131" s="14">
        <f t="shared" ca="1" si="1"/>
        <v>48</v>
      </c>
      <c r="K131" s="14">
        <f t="shared" ca="1" si="0"/>
        <v>6</v>
      </c>
    </row>
    <row r="132" spans="1:11" ht="12.75" customHeight="1" x14ac:dyDescent="0.3">
      <c r="A132" s="9">
        <v>1449</v>
      </c>
      <c r="B132" s="10" t="s">
        <v>244</v>
      </c>
      <c r="C132" s="10" t="s">
        <v>52</v>
      </c>
      <c r="D132" s="11">
        <v>3874</v>
      </c>
      <c r="E132" s="11" t="s">
        <v>19</v>
      </c>
      <c r="F132" s="11" t="s">
        <v>15</v>
      </c>
      <c r="G132" s="12">
        <v>16821.009999999998</v>
      </c>
      <c r="H132" s="11" t="s">
        <v>16</v>
      </c>
      <c r="I132" s="13">
        <v>20095</v>
      </c>
      <c r="J132" s="14">
        <f t="shared" ca="1" si="1"/>
        <v>71</v>
      </c>
      <c r="K132" s="14">
        <f t="shared" ca="1" si="0"/>
        <v>11</v>
      </c>
    </row>
    <row r="133" spans="1:11" ht="12.75" customHeight="1" x14ac:dyDescent="0.3">
      <c r="A133" s="9">
        <v>1499</v>
      </c>
      <c r="B133" s="10" t="s">
        <v>245</v>
      </c>
      <c r="C133" s="10" t="s">
        <v>31</v>
      </c>
      <c r="D133" s="11">
        <v>3143</v>
      </c>
      <c r="E133" s="11" t="s">
        <v>50</v>
      </c>
      <c r="F133" s="11" t="s">
        <v>29</v>
      </c>
      <c r="G133" s="12">
        <v>10597.31</v>
      </c>
      <c r="H133" s="11" t="s">
        <v>20</v>
      </c>
      <c r="I133" s="13">
        <v>22826</v>
      </c>
      <c r="J133" s="14">
        <f t="shared" ca="1" si="1"/>
        <v>63</v>
      </c>
      <c r="K133" s="14">
        <f t="shared" ca="1" si="0"/>
        <v>9</v>
      </c>
    </row>
    <row r="134" spans="1:11" ht="12.75" customHeight="1" x14ac:dyDescent="0.3">
      <c r="A134" s="9">
        <v>1419</v>
      </c>
      <c r="B134" s="10" t="s">
        <v>246</v>
      </c>
      <c r="C134" s="10" t="s">
        <v>167</v>
      </c>
      <c r="D134" s="11">
        <v>3636</v>
      </c>
      <c r="E134" s="11" t="s">
        <v>19</v>
      </c>
      <c r="F134" s="11" t="s">
        <v>15</v>
      </c>
      <c r="G134" s="12">
        <v>15882.28</v>
      </c>
      <c r="H134" s="11" t="s">
        <v>20</v>
      </c>
      <c r="I134" s="13">
        <v>20504</v>
      </c>
      <c r="J134" s="14">
        <f t="shared" ca="1" si="1"/>
        <v>70</v>
      </c>
      <c r="K134" s="14">
        <f t="shared" ca="1" si="0"/>
        <v>11</v>
      </c>
    </row>
    <row r="135" spans="1:11" ht="12.75" customHeight="1" x14ac:dyDescent="0.3">
      <c r="A135" s="9">
        <v>1065</v>
      </c>
      <c r="B135" s="10" t="s">
        <v>247</v>
      </c>
      <c r="C135" s="10" t="s">
        <v>248</v>
      </c>
      <c r="D135" s="11">
        <v>3140</v>
      </c>
      <c r="E135" s="11" t="s">
        <v>19</v>
      </c>
      <c r="F135" s="11" t="s">
        <v>29</v>
      </c>
      <c r="G135" s="12">
        <v>9382.1200000000008</v>
      </c>
      <c r="H135" s="11" t="s">
        <v>20</v>
      </c>
      <c r="I135" s="13">
        <v>28782</v>
      </c>
      <c r="J135" s="14">
        <f t="shared" ca="1" si="1"/>
        <v>47</v>
      </c>
      <c r="K135" s="14">
        <f t="shared" ca="1" si="0"/>
        <v>6</v>
      </c>
    </row>
    <row r="136" spans="1:11" ht="12.75" customHeight="1" x14ac:dyDescent="0.3">
      <c r="A136" s="9">
        <v>1263</v>
      </c>
      <c r="B136" s="10" t="s">
        <v>249</v>
      </c>
      <c r="C136" s="10" t="s">
        <v>222</v>
      </c>
      <c r="D136" s="11">
        <v>3675</v>
      </c>
      <c r="E136" s="11" t="s">
        <v>19</v>
      </c>
      <c r="F136" s="11" t="s">
        <v>29</v>
      </c>
      <c r="G136" s="12">
        <v>7350.36</v>
      </c>
      <c r="H136" s="11" t="s">
        <v>16</v>
      </c>
      <c r="I136" s="13">
        <v>22983</v>
      </c>
      <c r="J136" s="14">
        <f t="shared" ca="1" si="1"/>
        <v>63</v>
      </c>
      <c r="K136" s="14">
        <f t="shared" ca="1" si="0"/>
        <v>9</v>
      </c>
    </row>
    <row r="137" spans="1:11" ht="12.75" customHeight="1" x14ac:dyDescent="0.3">
      <c r="A137" s="9">
        <v>1091</v>
      </c>
      <c r="B137" s="10" t="s">
        <v>250</v>
      </c>
      <c r="C137" s="10" t="s">
        <v>251</v>
      </c>
      <c r="D137" s="11">
        <v>3711</v>
      </c>
      <c r="E137" s="11" t="s">
        <v>14</v>
      </c>
      <c r="F137" s="11" t="s">
        <v>15</v>
      </c>
      <c r="G137" s="12">
        <v>11061.89</v>
      </c>
      <c r="H137" s="11" t="s">
        <v>20</v>
      </c>
      <c r="I137" s="13">
        <v>28439</v>
      </c>
      <c r="J137" s="14">
        <f t="shared" ca="1" si="1"/>
        <v>48</v>
      </c>
      <c r="K137" s="14">
        <f t="shared" ca="1" si="0"/>
        <v>6</v>
      </c>
    </row>
    <row r="138" spans="1:11" ht="12.75" customHeight="1" x14ac:dyDescent="0.3">
      <c r="A138" s="9">
        <v>1421</v>
      </c>
      <c r="B138" s="10" t="s">
        <v>252</v>
      </c>
      <c r="C138" s="10" t="s">
        <v>253</v>
      </c>
      <c r="D138" s="11">
        <v>3703</v>
      </c>
      <c r="E138" s="11" t="s">
        <v>19</v>
      </c>
      <c r="F138" s="11" t="s">
        <v>29</v>
      </c>
      <c r="G138" s="12">
        <v>12821.88</v>
      </c>
      <c r="H138" s="11" t="s">
        <v>20</v>
      </c>
      <c r="I138" s="13">
        <v>20498</v>
      </c>
      <c r="J138" s="14">
        <f t="shared" ca="1" si="1"/>
        <v>70</v>
      </c>
      <c r="K138" s="14">
        <f t="shared" ca="1" si="0"/>
        <v>11</v>
      </c>
    </row>
    <row r="139" spans="1:11" ht="12.75" customHeight="1" x14ac:dyDescent="0.3">
      <c r="A139" s="9">
        <v>1067</v>
      </c>
      <c r="B139" s="10" t="s">
        <v>254</v>
      </c>
      <c r="C139" s="10" t="s">
        <v>255</v>
      </c>
      <c r="D139" s="11">
        <v>3115</v>
      </c>
      <c r="E139" s="11" t="s">
        <v>43</v>
      </c>
      <c r="F139" s="11" t="s">
        <v>15</v>
      </c>
      <c r="G139" s="12">
        <v>14977.21</v>
      </c>
      <c r="H139" s="11" t="s">
        <v>20</v>
      </c>
      <c r="I139" s="13">
        <v>28957</v>
      </c>
      <c r="J139" s="14">
        <f t="shared" ca="1" si="1"/>
        <v>46</v>
      </c>
      <c r="K139" s="14">
        <f t="shared" ca="1" si="0"/>
        <v>6</v>
      </c>
    </row>
    <row r="140" spans="1:11" ht="12.75" customHeight="1" x14ac:dyDescent="0.3">
      <c r="A140" s="9">
        <v>1389</v>
      </c>
      <c r="B140" s="10" t="s">
        <v>256</v>
      </c>
      <c r="C140" s="10" t="s">
        <v>257</v>
      </c>
      <c r="D140" s="11">
        <v>3078</v>
      </c>
      <c r="E140" s="11" t="s">
        <v>14</v>
      </c>
      <c r="F140" s="11" t="s">
        <v>29</v>
      </c>
      <c r="G140" s="12">
        <v>12032.11</v>
      </c>
      <c r="H140" s="11" t="s">
        <v>16</v>
      </c>
      <c r="I140" s="13">
        <v>21104</v>
      </c>
      <c r="J140" s="14">
        <f t="shared" ca="1" si="1"/>
        <v>68</v>
      </c>
      <c r="K140" s="14">
        <f t="shared" ca="1" si="0"/>
        <v>10</v>
      </c>
    </row>
    <row r="141" spans="1:11" ht="12.75" customHeight="1" x14ac:dyDescent="0.3">
      <c r="A141" s="9">
        <v>1119</v>
      </c>
      <c r="B141" s="10" t="s">
        <v>258</v>
      </c>
      <c r="C141" s="10" t="s">
        <v>13</v>
      </c>
      <c r="D141" s="11">
        <v>3954</v>
      </c>
      <c r="E141" s="11" t="s">
        <v>14</v>
      </c>
      <c r="F141" s="11" t="s">
        <v>15</v>
      </c>
      <c r="G141" s="12">
        <v>19319.900000000001</v>
      </c>
      <c r="H141" s="11" t="s">
        <v>16</v>
      </c>
      <c r="I141" s="13">
        <v>27775</v>
      </c>
      <c r="J141" s="14">
        <f t="shared" ca="1" si="1"/>
        <v>50</v>
      </c>
      <c r="K141" s="14">
        <f t="shared" ca="1" si="0"/>
        <v>7</v>
      </c>
    </row>
    <row r="142" spans="1:11" ht="12.75" customHeight="1" x14ac:dyDescent="0.3">
      <c r="A142" s="9">
        <v>1517</v>
      </c>
      <c r="B142" s="10" t="s">
        <v>259</v>
      </c>
      <c r="C142" s="10" t="s">
        <v>40</v>
      </c>
      <c r="D142" s="11">
        <v>3998</v>
      </c>
      <c r="E142" s="11" t="s">
        <v>19</v>
      </c>
      <c r="F142" s="11" t="s">
        <v>29</v>
      </c>
      <c r="G142" s="12">
        <v>15553.04</v>
      </c>
      <c r="H142" s="11" t="s">
        <v>20</v>
      </c>
      <c r="I142" s="13">
        <v>26395</v>
      </c>
      <c r="J142" s="14">
        <f t="shared" ca="1" si="1"/>
        <v>53</v>
      </c>
      <c r="K142" s="14">
        <f t="shared" ca="1" si="0"/>
        <v>7</v>
      </c>
    </row>
    <row r="143" spans="1:11" ht="12.75" customHeight="1" x14ac:dyDescent="0.3">
      <c r="A143" s="9">
        <v>1533</v>
      </c>
      <c r="B143" s="10" t="s">
        <v>260</v>
      </c>
      <c r="C143" s="10" t="s">
        <v>25</v>
      </c>
      <c r="D143" s="11">
        <v>3991</v>
      </c>
      <c r="E143" s="11" t="s">
        <v>14</v>
      </c>
      <c r="F143" s="11" t="s">
        <v>29</v>
      </c>
      <c r="G143" s="12">
        <v>8940.91</v>
      </c>
      <c r="H143" s="11" t="s">
        <v>16</v>
      </c>
      <c r="I143" s="13">
        <v>25770</v>
      </c>
      <c r="J143" s="14">
        <f t="shared" ca="1" si="1"/>
        <v>55</v>
      </c>
      <c r="K143" s="14">
        <f t="shared" ca="1" si="0"/>
        <v>8</v>
      </c>
    </row>
    <row r="144" spans="1:11" ht="12.75" customHeight="1" x14ac:dyDescent="0.3">
      <c r="A144" s="9">
        <v>1451</v>
      </c>
      <c r="B144" s="10" t="s">
        <v>261</v>
      </c>
      <c r="C144" s="10" t="s">
        <v>262</v>
      </c>
      <c r="D144" s="11">
        <v>3685</v>
      </c>
      <c r="E144" s="11" t="s">
        <v>14</v>
      </c>
      <c r="F144" s="11" t="s">
        <v>29</v>
      </c>
      <c r="G144" s="12">
        <v>16872.68</v>
      </c>
      <c r="H144" s="11" t="s">
        <v>16</v>
      </c>
      <c r="I144" s="13">
        <v>23985</v>
      </c>
      <c r="J144" s="14">
        <f t="shared" ca="1" si="1"/>
        <v>60</v>
      </c>
      <c r="K144" s="14">
        <f t="shared" ca="1" si="0"/>
        <v>9</v>
      </c>
    </row>
    <row r="145" spans="1:11" ht="12.75" customHeight="1" x14ac:dyDescent="0.3">
      <c r="A145" s="9">
        <v>1085</v>
      </c>
      <c r="B145" s="10" t="s">
        <v>263</v>
      </c>
      <c r="C145" s="10" t="s">
        <v>61</v>
      </c>
      <c r="D145" s="11">
        <v>3087</v>
      </c>
      <c r="E145" s="11" t="s">
        <v>43</v>
      </c>
      <c r="F145" s="11" t="s">
        <v>29</v>
      </c>
      <c r="G145" s="12">
        <v>15624.15</v>
      </c>
      <c r="H145" s="11" t="s">
        <v>20</v>
      </c>
      <c r="I145" s="13">
        <v>28334</v>
      </c>
      <c r="J145" s="14">
        <f t="shared" ca="1" si="1"/>
        <v>48</v>
      </c>
      <c r="K145" s="14">
        <f t="shared" ca="1" si="0"/>
        <v>6</v>
      </c>
    </row>
    <row r="146" spans="1:11" ht="12.75" customHeight="1" x14ac:dyDescent="0.3">
      <c r="A146" s="9">
        <v>1407</v>
      </c>
      <c r="B146" s="10" t="s">
        <v>264</v>
      </c>
      <c r="C146" s="10" t="s">
        <v>265</v>
      </c>
      <c r="D146" s="11">
        <v>3691</v>
      </c>
      <c r="E146" s="11" t="s">
        <v>19</v>
      </c>
      <c r="F146" s="11" t="s">
        <v>29</v>
      </c>
      <c r="G146" s="12">
        <v>9281.7800000000007</v>
      </c>
      <c r="H146" s="11" t="s">
        <v>16</v>
      </c>
      <c r="I146" s="13">
        <v>20934</v>
      </c>
      <c r="J146" s="14">
        <f t="shared" ca="1" si="1"/>
        <v>68</v>
      </c>
      <c r="K146" s="14">
        <f t="shared" ca="1" si="0"/>
        <v>10</v>
      </c>
    </row>
    <row r="147" spans="1:11" ht="12.75" customHeight="1" x14ac:dyDescent="0.3">
      <c r="A147" s="9">
        <v>1139</v>
      </c>
      <c r="B147" s="10" t="s">
        <v>266</v>
      </c>
      <c r="C147" s="10" t="s">
        <v>210</v>
      </c>
      <c r="D147" s="11">
        <v>3071</v>
      </c>
      <c r="E147" s="11" t="s">
        <v>43</v>
      </c>
      <c r="F147" s="11" t="s">
        <v>15</v>
      </c>
      <c r="G147" s="12">
        <v>19600.95</v>
      </c>
      <c r="H147" s="11" t="s">
        <v>16</v>
      </c>
      <c r="I147" s="13">
        <v>27339</v>
      </c>
      <c r="J147" s="14">
        <f t="shared" ca="1" si="1"/>
        <v>51</v>
      </c>
      <c r="K147" s="14">
        <f t="shared" ca="1" si="0"/>
        <v>7</v>
      </c>
    </row>
    <row r="148" spans="1:11" ht="12.75" customHeight="1" x14ac:dyDescent="0.3">
      <c r="A148" s="9">
        <v>1391</v>
      </c>
      <c r="B148" s="10" t="s">
        <v>267</v>
      </c>
      <c r="C148" s="10" t="s">
        <v>210</v>
      </c>
      <c r="D148" s="11">
        <v>3040</v>
      </c>
      <c r="E148" s="11" t="s">
        <v>23</v>
      </c>
      <c r="F148" s="11" t="s">
        <v>15</v>
      </c>
      <c r="G148" s="12">
        <v>9120.66</v>
      </c>
      <c r="H148" s="11" t="s">
        <v>16</v>
      </c>
      <c r="I148" s="13">
        <v>21125</v>
      </c>
      <c r="J148" s="14">
        <f t="shared" ca="1" si="1"/>
        <v>68</v>
      </c>
      <c r="K148" s="14">
        <f t="shared" ca="1" si="0"/>
        <v>10</v>
      </c>
    </row>
    <row r="149" spans="1:11" ht="12.75" customHeight="1" x14ac:dyDescent="0.3">
      <c r="A149" s="9">
        <v>1227</v>
      </c>
      <c r="B149" s="10" t="s">
        <v>268</v>
      </c>
      <c r="C149" s="10" t="s">
        <v>58</v>
      </c>
      <c r="D149" s="11">
        <v>3022</v>
      </c>
      <c r="E149" s="11" t="s">
        <v>43</v>
      </c>
      <c r="F149" s="11" t="s">
        <v>15</v>
      </c>
      <c r="G149" s="12">
        <v>19391.580000000002</v>
      </c>
      <c r="H149" s="11" t="s">
        <v>16</v>
      </c>
      <c r="I149" s="13">
        <v>24056</v>
      </c>
      <c r="J149" s="14">
        <f t="shared" ca="1" si="1"/>
        <v>60</v>
      </c>
      <c r="K149" s="14">
        <f t="shared" ca="1" si="0"/>
        <v>9</v>
      </c>
    </row>
    <row r="150" spans="1:11" ht="12.75" customHeight="1" x14ac:dyDescent="0.3">
      <c r="A150" s="9">
        <v>1049</v>
      </c>
      <c r="B150" s="10" t="s">
        <v>269</v>
      </c>
      <c r="C150" s="10" t="s">
        <v>217</v>
      </c>
      <c r="D150" s="11">
        <v>3156</v>
      </c>
      <c r="E150" s="11" t="s">
        <v>19</v>
      </c>
      <c r="F150" s="11" t="s">
        <v>29</v>
      </c>
      <c r="G150" s="12">
        <v>19579.900000000001</v>
      </c>
      <c r="H150" s="11" t="s">
        <v>20</v>
      </c>
      <c r="I150" s="13">
        <v>29589</v>
      </c>
      <c r="J150" s="14">
        <f t="shared" ca="1" si="1"/>
        <v>45</v>
      </c>
      <c r="K150" s="14">
        <f t="shared" ca="1" si="0"/>
        <v>6</v>
      </c>
    </row>
    <row r="151" spans="1:11" ht="12.75" customHeight="1" x14ac:dyDescent="0.3">
      <c r="A151" s="9">
        <v>1069</v>
      </c>
      <c r="B151" s="10" t="s">
        <v>270</v>
      </c>
      <c r="C151" s="10" t="s">
        <v>271</v>
      </c>
      <c r="D151" s="11">
        <v>3070</v>
      </c>
      <c r="E151" s="11" t="s">
        <v>43</v>
      </c>
      <c r="F151" s="11" t="s">
        <v>29</v>
      </c>
      <c r="G151" s="12">
        <v>12355.29</v>
      </c>
      <c r="H151" s="11" t="s">
        <v>16</v>
      </c>
      <c r="I151" s="13">
        <v>28721</v>
      </c>
      <c r="J151" s="14">
        <f t="shared" ca="1" si="1"/>
        <v>47</v>
      </c>
      <c r="K151" s="14">
        <f t="shared" ca="1" si="0"/>
        <v>6</v>
      </c>
    </row>
    <row r="152" spans="1:11" ht="12.75" customHeight="1" x14ac:dyDescent="0.3">
      <c r="A152" s="9">
        <v>1429</v>
      </c>
      <c r="B152" s="10" t="s">
        <v>272</v>
      </c>
      <c r="C152" s="10" t="s">
        <v>114</v>
      </c>
      <c r="D152" s="11">
        <v>3169</v>
      </c>
      <c r="E152" s="11" t="s">
        <v>19</v>
      </c>
      <c r="F152" s="11" t="s">
        <v>29</v>
      </c>
      <c r="G152" s="12">
        <v>9497.1200000000008</v>
      </c>
      <c r="H152" s="11" t="s">
        <v>16</v>
      </c>
      <c r="I152" s="13">
        <v>20386</v>
      </c>
      <c r="J152" s="14">
        <f t="shared" ca="1" si="1"/>
        <v>70</v>
      </c>
      <c r="K152" s="14">
        <f t="shared" ca="1" si="0"/>
        <v>11</v>
      </c>
    </row>
    <row r="153" spans="1:11" ht="12.75" customHeight="1" x14ac:dyDescent="0.3">
      <c r="A153" s="9">
        <v>1161</v>
      </c>
      <c r="B153" s="10" t="s">
        <v>273</v>
      </c>
      <c r="C153" s="10" t="s">
        <v>138</v>
      </c>
      <c r="D153" s="11">
        <v>3248</v>
      </c>
      <c r="E153" s="11" t="s">
        <v>14</v>
      </c>
      <c r="F153" s="11" t="s">
        <v>29</v>
      </c>
      <c r="G153" s="12">
        <v>6393.8</v>
      </c>
      <c r="H153" s="11" t="s">
        <v>20</v>
      </c>
      <c r="I153" s="13">
        <v>26886</v>
      </c>
      <c r="J153" s="14">
        <f t="shared" ca="1" si="1"/>
        <v>52</v>
      </c>
      <c r="K153" s="14">
        <f t="shared" ca="1" si="0"/>
        <v>7</v>
      </c>
    </row>
    <row r="154" spans="1:11" ht="12.75" customHeight="1" x14ac:dyDescent="0.3">
      <c r="A154" s="9">
        <v>1103</v>
      </c>
      <c r="B154" s="10" t="s">
        <v>274</v>
      </c>
      <c r="C154" s="10" t="s">
        <v>210</v>
      </c>
      <c r="D154" s="11">
        <v>3593</v>
      </c>
      <c r="E154" s="11" t="s">
        <v>43</v>
      </c>
      <c r="F154" s="11" t="s">
        <v>15</v>
      </c>
      <c r="G154" s="12">
        <v>19359.349999999999</v>
      </c>
      <c r="H154" s="11" t="s">
        <v>16</v>
      </c>
      <c r="I154" s="13">
        <v>27969</v>
      </c>
      <c r="J154" s="14">
        <f t="shared" ca="1" si="1"/>
        <v>49</v>
      </c>
      <c r="K154" s="14">
        <f t="shared" ca="1" si="0"/>
        <v>6</v>
      </c>
    </row>
    <row r="155" spans="1:11" ht="12.75" customHeight="1" x14ac:dyDescent="0.3">
      <c r="A155" s="9">
        <v>1121</v>
      </c>
      <c r="B155" s="10" t="s">
        <v>275</v>
      </c>
      <c r="C155" s="10" t="s">
        <v>238</v>
      </c>
      <c r="D155" s="11">
        <v>3144</v>
      </c>
      <c r="E155" s="11" t="s">
        <v>14</v>
      </c>
      <c r="F155" s="11" t="s">
        <v>29</v>
      </c>
      <c r="G155" s="12">
        <v>6664.93</v>
      </c>
      <c r="H155" s="11" t="s">
        <v>20</v>
      </c>
      <c r="I155" s="13">
        <v>27825</v>
      </c>
      <c r="J155" s="14">
        <f t="shared" ca="1" si="1"/>
        <v>50</v>
      </c>
      <c r="K155" s="14">
        <f t="shared" ca="1" si="0"/>
        <v>7</v>
      </c>
    </row>
    <row r="156" spans="1:11" ht="12.75" customHeight="1" x14ac:dyDescent="0.3">
      <c r="A156" s="9">
        <v>1295</v>
      </c>
      <c r="B156" s="10" t="s">
        <v>276</v>
      </c>
      <c r="C156" s="10" t="s">
        <v>59</v>
      </c>
      <c r="D156" s="11">
        <v>3676</v>
      </c>
      <c r="E156" s="11" t="s">
        <v>14</v>
      </c>
      <c r="F156" s="11" t="s">
        <v>29</v>
      </c>
      <c r="G156" s="12">
        <v>14470.6</v>
      </c>
      <c r="H156" s="11" t="s">
        <v>16</v>
      </c>
      <c r="I156" s="13">
        <v>22426</v>
      </c>
      <c r="J156" s="14">
        <f t="shared" ca="1" si="1"/>
        <v>64</v>
      </c>
      <c r="K156" s="14">
        <f t="shared" ca="1" si="0"/>
        <v>9</v>
      </c>
    </row>
    <row r="157" spans="1:11" ht="12.75" customHeight="1" x14ac:dyDescent="0.3">
      <c r="A157" s="9">
        <v>1031</v>
      </c>
      <c r="B157" s="10" t="s">
        <v>277</v>
      </c>
      <c r="C157" s="10" t="s">
        <v>278</v>
      </c>
      <c r="D157" s="11">
        <v>3056</v>
      </c>
      <c r="E157" s="11" t="s">
        <v>14</v>
      </c>
      <c r="F157" s="11" t="s">
        <v>29</v>
      </c>
      <c r="G157" s="12">
        <v>12173.67</v>
      </c>
      <c r="H157" s="11" t="s">
        <v>16</v>
      </c>
      <c r="I157" s="13">
        <v>30191</v>
      </c>
      <c r="J157" s="14">
        <f t="shared" ca="1" si="1"/>
        <v>43</v>
      </c>
      <c r="K157" s="14">
        <f t="shared" ca="1" si="0"/>
        <v>5</v>
      </c>
    </row>
    <row r="158" spans="1:11" ht="12.75" customHeight="1" x14ac:dyDescent="0.3">
      <c r="A158" s="9">
        <v>1041</v>
      </c>
      <c r="B158" s="10" t="s">
        <v>279</v>
      </c>
      <c r="C158" s="10" t="s">
        <v>188</v>
      </c>
      <c r="D158" s="11">
        <v>3668</v>
      </c>
      <c r="E158" s="11" t="s">
        <v>19</v>
      </c>
      <c r="F158" s="11" t="s">
        <v>29</v>
      </c>
      <c r="G158" s="12">
        <v>8908.85</v>
      </c>
      <c r="H158" s="11" t="s">
        <v>16</v>
      </c>
      <c r="I158" s="13">
        <v>30015</v>
      </c>
      <c r="J158" s="14">
        <f t="shared" ca="1" si="1"/>
        <v>44</v>
      </c>
      <c r="K158" s="14">
        <f t="shared" ca="1" si="0"/>
        <v>5</v>
      </c>
    </row>
    <row r="159" spans="1:11" ht="12.75" customHeight="1" x14ac:dyDescent="0.3">
      <c r="A159" s="9">
        <v>1363</v>
      </c>
      <c r="B159" s="10" t="s">
        <v>280</v>
      </c>
      <c r="C159" s="10" t="s">
        <v>131</v>
      </c>
      <c r="D159" s="11">
        <v>3607</v>
      </c>
      <c r="E159" s="11" t="s">
        <v>14</v>
      </c>
      <c r="F159" s="11" t="s">
        <v>38</v>
      </c>
      <c r="G159" s="12">
        <v>16977.18</v>
      </c>
      <c r="H159" s="11" t="s">
        <v>20</v>
      </c>
      <c r="I159" s="13">
        <v>21491</v>
      </c>
      <c r="J159" s="14">
        <f t="shared" ca="1" si="1"/>
        <v>67</v>
      </c>
      <c r="K159" s="14">
        <f t="shared" ca="1" si="0"/>
        <v>10</v>
      </c>
    </row>
    <row r="160" spans="1:11" ht="12.75" customHeight="1" x14ac:dyDescent="0.3">
      <c r="A160" s="9">
        <v>1365</v>
      </c>
      <c r="B160" s="10" t="s">
        <v>281</v>
      </c>
      <c r="C160" s="10" t="s">
        <v>116</v>
      </c>
      <c r="D160" s="11">
        <v>3130</v>
      </c>
      <c r="E160" s="11" t="s">
        <v>19</v>
      </c>
      <c r="F160" s="11" t="s">
        <v>29</v>
      </c>
      <c r="G160" s="12">
        <v>10777.4</v>
      </c>
      <c r="H160" s="11" t="s">
        <v>16</v>
      </c>
      <c r="I160" s="13">
        <v>21672</v>
      </c>
      <c r="J160" s="14">
        <f t="shared" ca="1" si="1"/>
        <v>66</v>
      </c>
      <c r="K160" s="14">
        <f t="shared" ca="1" si="0"/>
        <v>10</v>
      </c>
    </row>
    <row r="161" spans="1:11" ht="12.75" customHeight="1" x14ac:dyDescent="0.3">
      <c r="A161" s="9">
        <v>1057</v>
      </c>
      <c r="B161" s="10" t="s">
        <v>282</v>
      </c>
      <c r="C161" s="10" t="s">
        <v>224</v>
      </c>
      <c r="D161" s="11">
        <v>3551</v>
      </c>
      <c r="E161" s="11" t="s">
        <v>14</v>
      </c>
      <c r="F161" s="11" t="s">
        <v>15</v>
      </c>
      <c r="G161" s="12">
        <v>19750.150000000001</v>
      </c>
      <c r="H161" s="11" t="s">
        <v>16</v>
      </c>
      <c r="I161" s="13">
        <v>29053</v>
      </c>
      <c r="J161" s="14">
        <f t="shared" ca="1" si="1"/>
        <v>46</v>
      </c>
      <c r="K161" s="14">
        <f t="shared" ca="1" si="0"/>
        <v>6</v>
      </c>
    </row>
    <row r="162" spans="1:11" ht="12.75" customHeight="1" x14ac:dyDescent="0.3">
      <c r="A162" s="9">
        <v>1367</v>
      </c>
      <c r="B162" s="10" t="s">
        <v>283</v>
      </c>
      <c r="C162" s="10" t="s">
        <v>284</v>
      </c>
      <c r="D162" s="11">
        <v>3718</v>
      </c>
      <c r="E162" s="11" t="s">
        <v>14</v>
      </c>
      <c r="F162" s="11" t="s">
        <v>15</v>
      </c>
      <c r="G162" s="12">
        <v>7896.74</v>
      </c>
      <c r="H162" s="11" t="s">
        <v>16</v>
      </c>
      <c r="I162" s="13">
        <v>21611</v>
      </c>
      <c r="J162" s="14">
        <f t="shared" ca="1" si="1"/>
        <v>67</v>
      </c>
      <c r="K162" s="14">
        <f t="shared" ca="1" si="0"/>
        <v>10</v>
      </c>
    </row>
    <row r="163" spans="1:11" ht="12.75" customHeight="1" x14ac:dyDescent="0.3">
      <c r="A163" s="9">
        <v>1253</v>
      </c>
      <c r="B163" s="10" t="s">
        <v>285</v>
      </c>
      <c r="C163" s="10" t="s">
        <v>106</v>
      </c>
      <c r="D163" s="11">
        <v>3153</v>
      </c>
      <c r="E163" s="11" t="s">
        <v>19</v>
      </c>
      <c r="F163" s="11" t="s">
        <v>29</v>
      </c>
      <c r="G163" s="12">
        <v>11098.92</v>
      </c>
      <c r="H163" s="11" t="s">
        <v>16</v>
      </c>
      <c r="I163" s="13">
        <v>23315</v>
      </c>
      <c r="J163" s="14">
        <f t="shared" ca="1" si="1"/>
        <v>62</v>
      </c>
      <c r="K163" s="14">
        <f t="shared" ca="1" si="0"/>
        <v>9</v>
      </c>
    </row>
    <row r="164" spans="1:11" ht="12.75" customHeight="1" x14ac:dyDescent="0.3">
      <c r="A164" s="9">
        <v>1141</v>
      </c>
      <c r="B164" s="10" t="s">
        <v>286</v>
      </c>
      <c r="C164" s="10" t="s">
        <v>262</v>
      </c>
      <c r="D164" s="11">
        <v>3695</v>
      </c>
      <c r="E164" s="11" t="s">
        <v>14</v>
      </c>
      <c r="F164" s="11" t="s">
        <v>29</v>
      </c>
      <c r="G164" s="12">
        <v>8053.04</v>
      </c>
      <c r="H164" s="11" t="s">
        <v>16</v>
      </c>
      <c r="I164" s="13">
        <v>27484</v>
      </c>
      <c r="J164" s="14">
        <f t="shared" ca="1" si="1"/>
        <v>50</v>
      </c>
      <c r="K164" s="14">
        <f t="shared" ca="1" si="0"/>
        <v>7</v>
      </c>
    </row>
    <row r="165" spans="1:11" ht="12.75" customHeight="1" x14ac:dyDescent="0.3">
      <c r="A165" s="9">
        <v>1535</v>
      </c>
      <c r="B165" s="10" t="s">
        <v>287</v>
      </c>
      <c r="C165" s="10" t="s">
        <v>129</v>
      </c>
      <c r="D165" s="11">
        <v>3733</v>
      </c>
      <c r="E165" s="11" t="s">
        <v>19</v>
      </c>
      <c r="F165" s="11" t="s">
        <v>15</v>
      </c>
      <c r="G165" s="12">
        <v>12040.29</v>
      </c>
      <c r="H165" s="11" t="s">
        <v>16</v>
      </c>
      <c r="I165" s="13">
        <v>25944</v>
      </c>
      <c r="J165" s="14">
        <f t="shared" ca="1" si="1"/>
        <v>55</v>
      </c>
      <c r="K165" s="14">
        <f t="shared" ca="1" si="0"/>
        <v>8</v>
      </c>
    </row>
    <row r="166" spans="1:11" ht="12.75" customHeight="1" x14ac:dyDescent="0.3">
      <c r="A166" s="9">
        <v>1453</v>
      </c>
      <c r="B166" s="10" t="s">
        <v>288</v>
      </c>
      <c r="C166" s="10" t="s">
        <v>67</v>
      </c>
      <c r="D166" s="11">
        <v>3590</v>
      </c>
      <c r="E166" s="11" t="s">
        <v>19</v>
      </c>
      <c r="F166" s="11" t="s">
        <v>29</v>
      </c>
      <c r="G166" s="12">
        <v>20843.810000000001</v>
      </c>
      <c r="H166" s="11" t="s">
        <v>16</v>
      </c>
      <c r="I166" s="13">
        <v>24030</v>
      </c>
      <c r="J166" s="14">
        <f t="shared" ca="1" si="1"/>
        <v>60</v>
      </c>
      <c r="K166" s="14">
        <f t="shared" ca="1" si="0"/>
        <v>9</v>
      </c>
    </row>
    <row r="167" spans="1:11" ht="12.75" customHeight="1" x14ac:dyDescent="0.3">
      <c r="A167" s="9">
        <v>1163</v>
      </c>
      <c r="B167" s="10" t="s">
        <v>289</v>
      </c>
      <c r="C167" s="10" t="s">
        <v>271</v>
      </c>
      <c r="D167" s="11">
        <v>3703</v>
      </c>
      <c r="E167" s="11" t="s">
        <v>14</v>
      </c>
      <c r="F167" s="11" t="s">
        <v>29</v>
      </c>
      <c r="G167" s="12">
        <v>15660.05</v>
      </c>
      <c r="H167" s="11" t="s">
        <v>16</v>
      </c>
      <c r="I167" s="13">
        <v>26962</v>
      </c>
      <c r="J167" s="14">
        <f t="shared" ca="1" si="1"/>
        <v>52</v>
      </c>
      <c r="K167" s="14">
        <f t="shared" ca="1" si="0"/>
        <v>7</v>
      </c>
    </row>
    <row r="168" spans="1:11" ht="12.75" customHeight="1" x14ac:dyDescent="0.3">
      <c r="A168" s="9">
        <v>1509</v>
      </c>
      <c r="B168" s="10" t="s">
        <v>290</v>
      </c>
      <c r="C168" s="10" t="s">
        <v>129</v>
      </c>
      <c r="D168" s="11">
        <v>3104</v>
      </c>
      <c r="E168" s="11" t="s">
        <v>19</v>
      </c>
      <c r="F168" s="11" t="s">
        <v>15</v>
      </c>
      <c r="G168" s="12">
        <v>20559.25</v>
      </c>
      <c r="H168" s="11" t="s">
        <v>16</v>
      </c>
      <c r="I168" s="13">
        <v>26498</v>
      </c>
      <c r="J168" s="14">
        <f t="shared" ca="1" si="1"/>
        <v>53</v>
      </c>
      <c r="K168" s="14">
        <f t="shared" ca="1" si="0"/>
        <v>7</v>
      </c>
    </row>
    <row r="169" spans="1:11" ht="12.75" customHeight="1" x14ac:dyDescent="0.3">
      <c r="A169" s="9">
        <v>1455</v>
      </c>
      <c r="B169" s="10" t="s">
        <v>291</v>
      </c>
      <c r="C169" s="10" t="s">
        <v>71</v>
      </c>
      <c r="D169" s="11">
        <v>3204</v>
      </c>
      <c r="E169" s="11" t="s">
        <v>19</v>
      </c>
      <c r="F169" s="11" t="s">
        <v>29</v>
      </c>
      <c r="G169" s="12">
        <v>20254.84</v>
      </c>
      <c r="H169" s="11" t="s">
        <v>16</v>
      </c>
      <c r="I169" s="13">
        <v>20171</v>
      </c>
      <c r="J169" s="14">
        <f t="shared" ca="1" si="1"/>
        <v>70</v>
      </c>
      <c r="K169" s="14">
        <f t="shared" ca="1" si="0"/>
        <v>11</v>
      </c>
    </row>
    <row r="170" spans="1:11" ht="12.75" customHeight="1" x14ac:dyDescent="0.3">
      <c r="A170" s="9">
        <v>1501</v>
      </c>
      <c r="B170" s="10" t="s">
        <v>292</v>
      </c>
      <c r="C170" s="10" t="s">
        <v>293</v>
      </c>
      <c r="D170" s="11">
        <v>3105</v>
      </c>
      <c r="E170" s="11" t="s">
        <v>19</v>
      </c>
      <c r="F170" s="11" t="s">
        <v>29</v>
      </c>
      <c r="G170" s="12">
        <v>15522.69</v>
      </c>
      <c r="H170" s="11" t="s">
        <v>16</v>
      </c>
      <c r="I170" s="13">
        <v>26878</v>
      </c>
      <c r="J170" s="14">
        <f t="shared" ca="1" si="1"/>
        <v>52</v>
      </c>
      <c r="K170" s="14">
        <f t="shared" ca="1" si="0"/>
        <v>7</v>
      </c>
    </row>
    <row r="171" spans="1:11" ht="12.75" customHeight="1" x14ac:dyDescent="0.3">
      <c r="A171" s="9">
        <v>1265</v>
      </c>
      <c r="B171" s="10" t="s">
        <v>294</v>
      </c>
      <c r="C171" s="10" t="s">
        <v>295</v>
      </c>
      <c r="D171" s="11">
        <v>3124</v>
      </c>
      <c r="E171" s="11" t="s">
        <v>43</v>
      </c>
      <c r="F171" s="11" t="s">
        <v>15</v>
      </c>
      <c r="G171" s="12">
        <v>7046.35</v>
      </c>
      <c r="H171" s="11" t="s">
        <v>20</v>
      </c>
      <c r="I171" s="13">
        <v>22886</v>
      </c>
      <c r="J171" s="14">
        <f t="shared" ca="1" si="1"/>
        <v>63</v>
      </c>
      <c r="K171" s="14">
        <f t="shared" ca="1" si="0"/>
        <v>9</v>
      </c>
    </row>
    <row r="172" spans="1:11" ht="12.75" customHeight="1" x14ac:dyDescent="0.3">
      <c r="A172" s="9">
        <v>1267</v>
      </c>
      <c r="B172" s="10" t="s">
        <v>296</v>
      </c>
      <c r="C172" s="10" t="s">
        <v>297</v>
      </c>
      <c r="D172" s="11">
        <v>3722</v>
      </c>
      <c r="E172" s="11" t="s">
        <v>14</v>
      </c>
      <c r="F172" s="11" t="s">
        <v>29</v>
      </c>
      <c r="G172" s="12">
        <v>6483.13</v>
      </c>
      <c r="H172" s="11" t="s">
        <v>16</v>
      </c>
      <c r="I172" s="13">
        <v>22820</v>
      </c>
      <c r="J172" s="14">
        <f t="shared" ca="1" si="1"/>
        <v>63</v>
      </c>
      <c r="K172" s="14">
        <f t="shared" ca="1" si="0"/>
        <v>9</v>
      </c>
    </row>
    <row r="173" spans="1:11" ht="12.75" customHeight="1" x14ac:dyDescent="0.3">
      <c r="A173" s="9">
        <v>1093</v>
      </c>
      <c r="B173" s="10" t="s">
        <v>298</v>
      </c>
      <c r="C173" s="10" t="s">
        <v>52</v>
      </c>
      <c r="D173" s="11">
        <v>3055</v>
      </c>
      <c r="E173" s="11" t="s">
        <v>43</v>
      </c>
      <c r="F173" s="11" t="s">
        <v>15</v>
      </c>
      <c r="G173" s="12">
        <v>10388.879999999999</v>
      </c>
      <c r="H173" s="11" t="s">
        <v>16</v>
      </c>
      <c r="I173" s="13">
        <v>28389</v>
      </c>
      <c r="J173" s="14">
        <f t="shared" ca="1" si="1"/>
        <v>48</v>
      </c>
      <c r="K173" s="14">
        <f t="shared" ca="1" si="0"/>
        <v>6</v>
      </c>
    </row>
    <row r="174" spans="1:11" ht="12.75" customHeight="1" x14ac:dyDescent="0.3">
      <c r="A174" s="9">
        <v>1095</v>
      </c>
      <c r="B174" s="10" t="s">
        <v>299</v>
      </c>
      <c r="C174" s="10" t="s">
        <v>108</v>
      </c>
      <c r="D174" s="11">
        <v>3164</v>
      </c>
      <c r="E174" s="11" t="s">
        <v>19</v>
      </c>
      <c r="F174" s="11" t="s">
        <v>29</v>
      </c>
      <c r="G174" s="12">
        <v>13944.55</v>
      </c>
      <c r="H174" s="11" t="s">
        <v>16</v>
      </c>
      <c r="I174" s="13">
        <v>28318</v>
      </c>
      <c r="J174" s="14">
        <f t="shared" ca="1" si="1"/>
        <v>48</v>
      </c>
      <c r="K174" s="14">
        <f t="shared" ca="1" si="0"/>
        <v>6</v>
      </c>
    </row>
    <row r="175" spans="1:11" ht="12.75" customHeight="1" x14ac:dyDescent="0.3">
      <c r="A175" s="9">
        <v>1105</v>
      </c>
      <c r="B175" s="10" t="s">
        <v>300</v>
      </c>
      <c r="C175" s="10" t="s">
        <v>22</v>
      </c>
      <c r="D175" s="11">
        <v>3136</v>
      </c>
      <c r="E175" s="11" t="s">
        <v>23</v>
      </c>
      <c r="F175" s="11" t="s">
        <v>15</v>
      </c>
      <c r="G175" s="12">
        <v>17577.900000000001</v>
      </c>
      <c r="H175" s="11" t="s">
        <v>20</v>
      </c>
      <c r="I175" s="13">
        <v>27974</v>
      </c>
      <c r="J175" s="14">
        <f t="shared" ca="1" si="1"/>
        <v>49</v>
      </c>
      <c r="K175" s="14">
        <f t="shared" ca="1" si="0"/>
        <v>6</v>
      </c>
    </row>
    <row r="176" spans="1:11" ht="12.75" customHeight="1" x14ac:dyDescent="0.3">
      <c r="A176" s="9">
        <v>1215</v>
      </c>
      <c r="B176" s="10" t="s">
        <v>301</v>
      </c>
      <c r="C176" s="10" t="s">
        <v>73</v>
      </c>
      <c r="D176" s="11">
        <v>3010</v>
      </c>
      <c r="E176" s="11" t="s">
        <v>14</v>
      </c>
      <c r="F176" s="11" t="s">
        <v>29</v>
      </c>
      <c r="G176" s="12">
        <v>15723.23</v>
      </c>
      <c r="H176" s="11" t="s">
        <v>16</v>
      </c>
      <c r="I176" s="13">
        <v>25074</v>
      </c>
      <c r="J176" s="14">
        <f t="shared" ca="1" si="1"/>
        <v>57</v>
      </c>
      <c r="K176" s="14">
        <f t="shared" ca="1" si="0"/>
        <v>8</v>
      </c>
    </row>
    <row r="177" spans="1:11" ht="12.75" customHeight="1" x14ac:dyDescent="0.3">
      <c r="A177" s="9">
        <v>1409</v>
      </c>
      <c r="B177" s="10" t="s">
        <v>302</v>
      </c>
      <c r="C177" s="10" t="s">
        <v>226</v>
      </c>
      <c r="D177" s="11">
        <v>3626</v>
      </c>
      <c r="E177" s="11" t="s">
        <v>19</v>
      </c>
      <c r="F177" s="11" t="s">
        <v>15</v>
      </c>
      <c r="G177" s="12">
        <v>17363.88</v>
      </c>
      <c r="H177" s="11" t="s">
        <v>20</v>
      </c>
      <c r="I177" s="13">
        <v>20859</v>
      </c>
      <c r="J177" s="14">
        <f t="shared" ca="1" si="1"/>
        <v>69</v>
      </c>
      <c r="K177" s="14">
        <f t="shared" ca="1" si="0"/>
        <v>10</v>
      </c>
    </row>
    <row r="178" spans="1:11" ht="12.75" customHeight="1" x14ac:dyDescent="0.3">
      <c r="A178" s="9">
        <v>1051</v>
      </c>
      <c r="B178" s="10" t="s">
        <v>303</v>
      </c>
      <c r="C178" s="10" t="s">
        <v>236</v>
      </c>
      <c r="D178" s="11">
        <v>3037</v>
      </c>
      <c r="E178" s="11" t="s">
        <v>50</v>
      </c>
      <c r="F178" s="11" t="s">
        <v>29</v>
      </c>
      <c r="G178" s="12">
        <v>10931.05</v>
      </c>
      <c r="H178" s="11" t="s">
        <v>20</v>
      </c>
      <c r="I178" s="13">
        <v>29669</v>
      </c>
      <c r="J178" s="14">
        <f t="shared" ca="1" si="1"/>
        <v>44</v>
      </c>
      <c r="K178" s="14">
        <f t="shared" ca="1" si="0"/>
        <v>5</v>
      </c>
    </row>
    <row r="179" spans="1:11" ht="12.75" customHeight="1" x14ac:dyDescent="0.3">
      <c r="A179" s="9">
        <v>1289</v>
      </c>
      <c r="B179" s="10" t="s">
        <v>304</v>
      </c>
      <c r="C179" s="10" t="s">
        <v>305</v>
      </c>
      <c r="D179" s="11">
        <v>3844</v>
      </c>
      <c r="E179" s="11" t="s">
        <v>19</v>
      </c>
      <c r="F179" s="11" t="s">
        <v>29</v>
      </c>
      <c r="G179" s="12">
        <v>17045.2</v>
      </c>
      <c r="H179" s="11" t="s">
        <v>16</v>
      </c>
      <c r="I179" s="13">
        <v>22793</v>
      </c>
      <c r="J179" s="14">
        <f t="shared" ca="1" si="1"/>
        <v>63</v>
      </c>
      <c r="K179" s="14">
        <f t="shared" ca="1" si="0"/>
        <v>9</v>
      </c>
    </row>
    <row r="180" spans="1:11" ht="12.75" customHeight="1" x14ac:dyDescent="0.3">
      <c r="A180" s="9">
        <v>1053</v>
      </c>
      <c r="B180" s="10" t="s">
        <v>306</v>
      </c>
      <c r="C180" s="10" t="s">
        <v>307</v>
      </c>
      <c r="D180" s="11">
        <v>3063</v>
      </c>
      <c r="E180" s="11" t="s">
        <v>19</v>
      </c>
      <c r="F180" s="11" t="s">
        <v>15</v>
      </c>
      <c r="G180" s="12">
        <v>10993.25</v>
      </c>
      <c r="H180" s="11" t="s">
        <v>20</v>
      </c>
      <c r="I180" s="13">
        <v>29563</v>
      </c>
      <c r="J180" s="14">
        <f t="shared" ca="1" si="1"/>
        <v>45</v>
      </c>
      <c r="K180" s="14">
        <f t="shared" ca="1" si="0"/>
        <v>6</v>
      </c>
    </row>
    <row r="181" spans="1:11" ht="12.75" customHeight="1" x14ac:dyDescent="0.3">
      <c r="A181" s="9">
        <v>1537</v>
      </c>
      <c r="B181" s="10" t="s">
        <v>308</v>
      </c>
      <c r="C181" s="10" t="s">
        <v>309</v>
      </c>
      <c r="D181" s="11">
        <v>3135</v>
      </c>
      <c r="E181" s="11" t="s">
        <v>43</v>
      </c>
      <c r="F181" s="11" t="s">
        <v>15</v>
      </c>
      <c r="G181" s="12">
        <v>19057.96</v>
      </c>
      <c r="H181" s="11" t="s">
        <v>16</v>
      </c>
      <c r="I181" s="13">
        <v>25846</v>
      </c>
      <c r="J181" s="14">
        <f t="shared" ca="1" si="1"/>
        <v>55</v>
      </c>
      <c r="K181" s="14">
        <f t="shared" ca="1" si="0"/>
        <v>8</v>
      </c>
    </row>
    <row r="182" spans="1:11" ht="12.75" customHeight="1" x14ac:dyDescent="0.3">
      <c r="A182" s="9">
        <v>1123</v>
      </c>
      <c r="B182" s="10" t="s">
        <v>310</v>
      </c>
      <c r="C182" s="10" t="s">
        <v>311</v>
      </c>
      <c r="D182" s="11">
        <v>3123</v>
      </c>
      <c r="E182" s="11" t="s">
        <v>50</v>
      </c>
      <c r="F182" s="11" t="s">
        <v>15</v>
      </c>
      <c r="G182" s="12">
        <v>13834.66</v>
      </c>
      <c r="H182" s="11" t="s">
        <v>20</v>
      </c>
      <c r="I182" s="13">
        <v>27583</v>
      </c>
      <c r="J182" s="14">
        <f t="shared" ca="1" si="1"/>
        <v>50</v>
      </c>
      <c r="K182" s="14">
        <f t="shared" ca="1" si="0"/>
        <v>7</v>
      </c>
    </row>
    <row r="183" spans="1:11" ht="12.75" customHeight="1" x14ac:dyDescent="0.3">
      <c r="A183" s="9">
        <v>1331</v>
      </c>
      <c r="B183" s="10" t="s">
        <v>312</v>
      </c>
      <c r="C183" s="10" t="s">
        <v>106</v>
      </c>
      <c r="D183" s="11">
        <v>3206</v>
      </c>
      <c r="E183" s="11" t="s">
        <v>19</v>
      </c>
      <c r="F183" s="11" t="s">
        <v>29</v>
      </c>
      <c r="G183" s="12">
        <v>8845.89</v>
      </c>
      <c r="H183" s="11" t="s">
        <v>16</v>
      </c>
      <c r="I183" s="13">
        <v>21817</v>
      </c>
      <c r="J183" s="14">
        <f t="shared" ca="1" si="1"/>
        <v>66</v>
      </c>
      <c r="K183" s="14">
        <f t="shared" ca="1" si="0"/>
        <v>10</v>
      </c>
    </row>
    <row r="184" spans="1:11" ht="12.75" customHeight="1" x14ac:dyDescent="0.3">
      <c r="A184" s="9">
        <v>1269</v>
      </c>
      <c r="B184" s="10" t="s">
        <v>313</v>
      </c>
      <c r="C184" s="10" t="s">
        <v>314</v>
      </c>
      <c r="D184" s="11">
        <v>3131</v>
      </c>
      <c r="E184" s="11" t="s">
        <v>14</v>
      </c>
      <c r="F184" s="11" t="s">
        <v>29</v>
      </c>
      <c r="G184" s="12">
        <v>16387.22</v>
      </c>
      <c r="H184" s="11" t="s">
        <v>20</v>
      </c>
      <c r="I184" s="13">
        <v>22942</v>
      </c>
      <c r="J184" s="14">
        <f t="shared" ca="1" si="1"/>
        <v>63</v>
      </c>
      <c r="K184" s="14">
        <f t="shared" ca="1" si="0"/>
        <v>9</v>
      </c>
    </row>
    <row r="185" spans="1:11" ht="12.75" customHeight="1" x14ac:dyDescent="0.3">
      <c r="A185" s="9">
        <v>1431</v>
      </c>
      <c r="B185" s="10" t="s">
        <v>313</v>
      </c>
      <c r="C185" s="10" t="s">
        <v>315</v>
      </c>
      <c r="D185" s="11">
        <v>3986</v>
      </c>
      <c r="E185" s="11" t="s">
        <v>14</v>
      </c>
      <c r="F185" s="11" t="s">
        <v>29</v>
      </c>
      <c r="G185" s="12">
        <v>18328.28</v>
      </c>
      <c r="H185" s="11" t="s">
        <v>16</v>
      </c>
      <c r="I185" s="13">
        <v>20449</v>
      </c>
      <c r="J185" s="14">
        <f t="shared" ca="1" si="1"/>
        <v>70</v>
      </c>
      <c r="K185" s="14">
        <f t="shared" ca="1" si="0"/>
        <v>11</v>
      </c>
    </row>
    <row r="186" spans="1:11" ht="12.75" customHeight="1" x14ac:dyDescent="0.3">
      <c r="A186" s="9">
        <v>1369</v>
      </c>
      <c r="B186" s="10" t="s">
        <v>316</v>
      </c>
      <c r="C186" s="10" t="s">
        <v>317</v>
      </c>
      <c r="D186" s="11">
        <v>3626</v>
      </c>
      <c r="E186" s="11" t="s">
        <v>43</v>
      </c>
      <c r="F186" s="11" t="s">
        <v>15</v>
      </c>
      <c r="G186" s="12">
        <v>20196.169999999998</v>
      </c>
      <c r="H186" s="11" t="s">
        <v>16</v>
      </c>
      <c r="I186" s="13">
        <v>21564</v>
      </c>
      <c r="J186" s="14">
        <f t="shared" ca="1" si="1"/>
        <v>67</v>
      </c>
      <c r="K186" s="14">
        <f t="shared" ca="1" si="0"/>
        <v>10</v>
      </c>
    </row>
    <row r="187" spans="1:11" ht="12.75" customHeight="1" x14ac:dyDescent="0.3">
      <c r="A187" s="9">
        <v>1371</v>
      </c>
      <c r="B187" s="10" t="s">
        <v>318</v>
      </c>
      <c r="C187" s="10" t="s">
        <v>217</v>
      </c>
      <c r="D187" s="11">
        <v>3086</v>
      </c>
      <c r="E187" s="11" t="s">
        <v>14</v>
      </c>
      <c r="F187" s="11" t="s">
        <v>29</v>
      </c>
      <c r="G187" s="12">
        <v>7095.37</v>
      </c>
      <c r="H187" s="11" t="s">
        <v>20</v>
      </c>
      <c r="I187" s="13">
        <v>21570</v>
      </c>
      <c r="J187" s="14">
        <f t="shared" ca="1" si="1"/>
        <v>67</v>
      </c>
      <c r="K187" s="14">
        <f t="shared" ca="1" si="0"/>
        <v>10</v>
      </c>
    </row>
    <row r="188" spans="1:11" ht="12.75" customHeight="1" x14ac:dyDescent="0.3">
      <c r="A188" s="9">
        <v>1187</v>
      </c>
      <c r="B188" s="10" t="s">
        <v>319</v>
      </c>
      <c r="C188" s="10" t="s">
        <v>311</v>
      </c>
      <c r="D188" s="11">
        <v>3591</v>
      </c>
      <c r="E188" s="11" t="s">
        <v>50</v>
      </c>
      <c r="F188" s="11" t="s">
        <v>15</v>
      </c>
      <c r="G188" s="12">
        <v>12927.11</v>
      </c>
      <c r="H188" s="11" t="s">
        <v>20</v>
      </c>
      <c r="I188" s="13">
        <v>26752</v>
      </c>
      <c r="J188" s="14">
        <f t="shared" ca="1" si="1"/>
        <v>52</v>
      </c>
      <c r="K188" s="14">
        <f t="shared" ca="1" si="0"/>
        <v>7</v>
      </c>
    </row>
    <row r="189" spans="1:11" ht="12.75" customHeight="1" x14ac:dyDescent="0.3">
      <c r="A189" s="9">
        <v>1205</v>
      </c>
      <c r="B189" s="10" t="s">
        <v>320</v>
      </c>
      <c r="C189" s="10" t="s">
        <v>321</v>
      </c>
      <c r="D189" s="11">
        <v>3596</v>
      </c>
      <c r="E189" s="11" t="s">
        <v>19</v>
      </c>
      <c r="F189" s="11" t="s">
        <v>26</v>
      </c>
      <c r="G189" s="12">
        <v>19755.02</v>
      </c>
      <c r="H189" s="11" t="s">
        <v>16</v>
      </c>
      <c r="I189" s="13">
        <v>25769</v>
      </c>
      <c r="J189" s="14">
        <f t="shared" ca="1" si="1"/>
        <v>55</v>
      </c>
      <c r="K189" s="14">
        <f t="shared" ca="1" si="0"/>
        <v>8</v>
      </c>
    </row>
    <row r="190" spans="1:11" ht="12.75" customHeight="1" x14ac:dyDescent="0.3">
      <c r="A190" s="9">
        <v>1033</v>
      </c>
      <c r="B190" s="10" t="s">
        <v>322</v>
      </c>
      <c r="C190" s="10" t="s">
        <v>323</v>
      </c>
      <c r="D190" s="11">
        <v>3638</v>
      </c>
      <c r="E190" s="11" t="s">
        <v>50</v>
      </c>
      <c r="F190" s="11" t="s">
        <v>38</v>
      </c>
      <c r="G190" s="12">
        <v>6838.16</v>
      </c>
      <c r="H190" s="11" t="s">
        <v>20</v>
      </c>
      <c r="I190" s="13">
        <v>30361</v>
      </c>
      <c r="J190" s="14">
        <f t="shared" ca="1" si="1"/>
        <v>43</v>
      </c>
      <c r="K190" s="14">
        <f t="shared" ca="1" si="0"/>
        <v>5</v>
      </c>
    </row>
    <row r="191" spans="1:11" ht="12.75" customHeight="1" x14ac:dyDescent="0.3">
      <c r="A191" s="9">
        <v>1457</v>
      </c>
      <c r="B191" s="10" t="s">
        <v>322</v>
      </c>
      <c r="C191" s="10" t="s">
        <v>324</v>
      </c>
      <c r="D191" s="11">
        <v>3913</v>
      </c>
      <c r="E191" s="11" t="s">
        <v>19</v>
      </c>
      <c r="F191" s="11" t="s">
        <v>29</v>
      </c>
      <c r="G191" s="12">
        <v>7369.79</v>
      </c>
      <c r="H191" s="11" t="s">
        <v>16</v>
      </c>
      <c r="I191" s="13">
        <v>20177</v>
      </c>
      <c r="J191" s="14">
        <f t="shared" ca="1" si="1"/>
        <v>70</v>
      </c>
      <c r="K191" s="14">
        <f t="shared" ca="1" si="0"/>
        <v>11</v>
      </c>
    </row>
    <row r="192" spans="1:11" ht="12.75" customHeight="1" x14ac:dyDescent="0.3">
      <c r="A192" s="9">
        <v>1519</v>
      </c>
      <c r="B192" s="10" t="s">
        <v>322</v>
      </c>
      <c r="C192" s="10" t="s">
        <v>325</v>
      </c>
      <c r="D192" s="11">
        <v>3120</v>
      </c>
      <c r="E192" s="11" t="s">
        <v>19</v>
      </c>
      <c r="F192" s="11" t="s">
        <v>29</v>
      </c>
      <c r="G192" s="12">
        <v>11838.84</v>
      </c>
      <c r="H192" s="11" t="s">
        <v>20</v>
      </c>
      <c r="I192" s="13">
        <v>26281</v>
      </c>
      <c r="J192" s="14">
        <f t="shared" ca="1" si="1"/>
        <v>54</v>
      </c>
      <c r="K192" s="14">
        <f t="shared" ca="1" si="0"/>
        <v>7</v>
      </c>
    </row>
    <row r="193" spans="1:11" ht="12.75" customHeight="1" x14ac:dyDescent="0.3">
      <c r="A193" s="9">
        <v>1585</v>
      </c>
      <c r="B193" s="10" t="s">
        <v>322</v>
      </c>
      <c r="C193" s="10" t="s">
        <v>326</v>
      </c>
      <c r="D193" s="11">
        <v>3943</v>
      </c>
      <c r="E193" s="11" t="s">
        <v>43</v>
      </c>
      <c r="F193" s="11" t="s">
        <v>29</v>
      </c>
      <c r="G193" s="12">
        <v>12769.41</v>
      </c>
      <c r="H193" s="11" t="s">
        <v>16</v>
      </c>
      <c r="I193" s="13">
        <v>23314</v>
      </c>
      <c r="J193" s="14">
        <f t="shared" ca="1" si="1"/>
        <v>62</v>
      </c>
      <c r="K193" s="14">
        <f t="shared" ca="1" si="0"/>
        <v>9</v>
      </c>
    </row>
    <row r="194" spans="1:11" ht="12.75" customHeight="1" x14ac:dyDescent="0.3">
      <c r="A194" s="9">
        <v>1199</v>
      </c>
      <c r="B194" s="10" t="s">
        <v>327</v>
      </c>
      <c r="C194" s="10" t="s">
        <v>328</v>
      </c>
      <c r="D194" s="11">
        <v>3611</v>
      </c>
      <c r="E194" s="11" t="s">
        <v>14</v>
      </c>
      <c r="F194" s="11" t="s">
        <v>38</v>
      </c>
      <c r="G194" s="12">
        <v>20879.54</v>
      </c>
      <c r="H194" s="11" t="s">
        <v>16</v>
      </c>
      <c r="I194" s="13">
        <v>26090</v>
      </c>
      <c r="J194" s="14">
        <f t="shared" ca="1" si="1"/>
        <v>54</v>
      </c>
      <c r="K194" s="14">
        <f t="shared" ca="1" si="0"/>
        <v>7</v>
      </c>
    </row>
    <row r="195" spans="1:11" ht="12.75" customHeight="1" x14ac:dyDescent="0.3">
      <c r="A195" s="9">
        <v>1561</v>
      </c>
      <c r="B195" s="10" t="s">
        <v>329</v>
      </c>
      <c r="C195" s="10" t="s">
        <v>330</v>
      </c>
      <c r="D195" s="11">
        <v>3117</v>
      </c>
      <c r="E195" s="11" t="s">
        <v>43</v>
      </c>
      <c r="F195" s="11" t="s">
        <v>29</v>
      </c>
      <c r="G195" s="12">
        <v>20701.900000000001</v>
      </c>
      <c r="H195" s="11" t="s">
        <v>16</v>
      </c>
      <c r="I195" s="13">
        <v>25269</v>
      </c>
      <c r="J195" s="14">
        <f t="shared" ca="1" si="1"/>
        <v>57</v>
      </c>
      <c r="K195" s="14">
        <f t="shared" ca="1" si="0"/>
        <v>8</v>
      </c>
    </row>
    <row r="196" spans="1:11" ht="12.75" customHeight="1" x14ac:dyDescent="0.3">
      <c r="A196" s="9">
        <v>1491</v>
      </c>
      <c r="B196" s="10" t="s">
        <v>331</v>
      </c>
      <c r="C196" s="10" t="s">
        <v>326</v>
      </c>
      <c r="D196" s="11">
        <v>3057</v>
      </c>
      <c r="E196" s="11" t="s">
        <v>43</v>
      </c>
      <c r="F196" s="11" t="s">
        <v>29</v>
      </c>
      <c r="G196" s="12">
        <v>6571.47</v>
      </c>
      <c r="H196" s="11" t="s">
        <v>16</v>
      </c>
      <c r="I196" s="13">
        <v>23496</v>
      </c>
      <c r="J196" s="14">
        <f t="shared" ca="1" si="1"/>
        <v>61</v>
      </c>
      <c r="K196" s="14">
        <f t="shared" ca="1" si="0"/>
        <v>9</v>
      </c>
    </row>
    <row r="197" spans="1:11" ht="12.75" customHeight="1" x14ac:dyDescent="0.3">
      <c r="A197" s="9">
        <v>1393</v>
      </c>
      <c r="B197" s="10" t="s">
        <v>332</v>
      </c>
      <c r="C197" s="10" t="s">
        <v>333</v>
      </c>
      <c r="D197" s="11">
        <v>3154</v>
      </c>
      <c r="E197" s="11" t="s">
        <v>19</v>
      </c>
      <c r="F197" s="11" t="s">
        <v>29</v>
      </c>
      <c r="G197" s="12">
        <v>7210.55</v>
      </c>
      <c r="H197" s="11" t="s">
        <v>20</v>
      </c>
      <c r="I197" s="13">
        <v>21001</v>
      </c>
      <c r="J197" s="14">
        <f t="shared" ca="1" si="1"/>
        <v>68</v>
      </c>
      <c r="K197" s="14">
        <f t="shared" ca="1" si="0"/>
        <v>10</v>
      </c>
    </row>
    <row r="198" spans="1:11" ht="12.75" customHeight="1" x14ac:dyDescent="0.3">
      <c r="A198" s="9">
        <v>1433</v>
      </c>
      <c r="B198" s="10" t="s">
        <v>334</v>
      </c>
      <c r="C198" s="10" t="s">
        <v>142</v>
      </c>
      <c r="D198" s="11">
        <v>3148</v>
      </c>
      <c r="E198" s="11" t="s">
        <v>50</v>
      </c>
      <c r="F198" s="11" t="s">
        <v>15</v>
      </c>
      <c r="G198" s="12">
        <v>6218.73</v>
      </c>
      <c r="H198" s="11" t="s">
        <v>16</v>
      </c>
      <c r="I198" s="13">
        <v>20489</v>
      </c>
      <c r="J198" s="14">
        <f t="shared" ca="1" si="1"/>
        <v>70</v>
      </c>
      <c r="K198" s="14">
        <f t="shared" ca="1" si="0"/>
        <v>11</v>
      </c>
    </row>
    <row r="199" spans="1:11" ht="12.75" customHeight="1" x14ac:dyDescent="0.3">
      <c r="A199" s="9">
        <v>1521</v>
      </c>
      <c r="B199" s="10" t="s">
        <v>334</v>
      </c>
      <c r="C199" s="10" t="s">
        <v>335</v>
      </c>
      <c r="D199" s="11">
        <v>3110</v>
      </c>
      <c r="E199" s="11" t="s">
        <v>14</v>
      </c>
      <c r="F199" s="11" t="s">
        <v>29</v>
      </c>
      <c r="G199" s="12">
        <v>18009.169999999998</v>
      </c>
      <c r="H199" s="11" t="s">
        <v>20</v>
      </c>
      <c r="I199" s="13">
        <v>26186</v>
      </c>
      <c r="J199" s="14">
        <f t="shared" ca="1" si="1"/>
        <v>54</v>
      </c>
      <c r="K199" s="14">
        <f t="shared" ca="1" si="0"/>
        <v>7</v>
      </c>
    </row>
    <row r="200" spans="1:11" ht="12.75" customHeight="1" x14ac:dyDescent="0.3">
      <c r="A200" s="9">
        <v>1219</v>
      </c>
      <c r="B200" s="10" t="s">
        <v>336</v>
      </c>
      <c r="C200" s="10" t="s">
        <v>22</v>
      </c>
      <c r="D200" s="11">
        <v>3588</v>
      </c>
      <c r="E200" s="11" t="s">
        <v>23</v>
      </c>
      <c r="F200" s="11" t="s">
        <v>15</v>
      </c>
      <c r="G200" s="12">
        <v>15276.08</v>
      </c>
      <c r="H200" s="11" t="s">
        <v>20</v>
      </c>
      <c r="I200" s="13">
        <v>24788</v>
      </c>
      <c r="J200" s="14">
        <f t="shared" ca="1" si="1"/>
        <v>58</v>
      </c>
      <c r="K200" s="14">
        <f t="shared" ca="1" si="0"/>
        <v>8</v>
      </c>
    </row>
    <row r="201" spans="1:11" ht="12.75" customHeight="1" x14ac:dyDescent="0.3">
      <c r="A201" s="9">
        <v>1297</v>
      </c>
      <c r="B201" s="10" t="s">
        <v>337</v>
      </c>
      <c r="C201" s="10" t="s">
        <v>338</v>
      </c>
      <c r="D201" s="11">
        <v>3618</v>
      </c>
      <c r="E201" s="11" t="s">
        <v>19</v>
      </c>
      <c r="F201" s="11" t="s">
        <v>15</v>
      </c>
      <c r="G201" s="12">
        <v>12358.23</v>
      </c>
      <c r="H201" s="11" t="s">
        <v>20</v>
      </c>
      <c r="I201" s="13">
        <v>22109</v>
      </c>
      <c r="J201" s="14">
        <f t="shared" ca="1" si="1"/>
        <v>65</v>
      </c>
      <c r="K201" s="14">
        <f t="shared" ca="1" si="0"/>
        <v>10</v>
      </c>
    </row>
    <row r="202" spans="1:11" ht="12.75" customHeight="1" x14ac:dyDescent="0.3">
      <c r="A202" s="9">
        <v>1299</v>
      </c>
      <c r="B202" s="10" t="s">
        <v>339</v>
      </c>
      <c r="C202" s="10" t="s">
        <v>340</v>
      </c>
      <c r="D202" s="11">
        <v>3150</v>
      </c>
      <c r="E202" s="11" t="s">
        <v>19</v>
      </c>
      <c r="F202" s="11" t="s">
        <v>29</v>
      </c>
      <c r="G202" s="12">
        <v>11180.79</v>
      </c>
      <c r="H202" s="11" t="s">
        <v>20</v>
      </c>
      <c r="I202" s="13">
        <v>22412</v>
      </c>
      <c r="J202" s="14">
        <f t="shared" ca="1" si="1"/>
        <v>64</v>
      </c>
      <c r="K202" s="14">
        <f t="shared" ca="1" si="0"/>
        <v>9</v>
      </c>
    </row>
    <row r="203" spans="1:11" ht="12.75" customHeight="1" x14ac:dyDescent="0.3">
      <c r="A203" s="9">
        <v>1395</v>
      </c>
      <c r="B203" s="10" t="s">
        <v>341</v>
      </c>
      <c r="C203" s="10" t="s">
        <v>342</v>
      </c>
      <c r="D203" s="11">
        <v>3626</v>
      </c>
      <c r="E203" s="11" t="s">
        <v>43</v>
      </c>
      <c r="F203" s="11" t="s">
        <v>29</v>
      </c>
      <c r="G203" s="12">
        <v>10000</v>
      </c>
      <c r="H203" s="11" t="s">
        <v>16</v>
      </c>
      <c r="I203" s="13">
        <v>21111</v>
      </c>
      <c r="J203" s="14">
        <f t="shared" ca="1" si="1"/>
        <v>68</v>
      </c>
      <c r="K203" s="14">
        <f t="shared" ca="1" si="0"/>
        <v>10</v>
      </c>
    </row>
    <row r="204" spans="1:11" ht="12.75" customHeight="1" x14ac:dyDescent="0.3">
      <c r="A204" s="9">
        <v>1435</v>
      </c>
      <c r="B204" s="10" t="s">
        <v>343</v>
      </c>
      <c r="C204" s="10" t="s">
        <v>344</v>
      </c>
      <c r="D204" s="11">
        <v>3584</v>
      </c>
      <c r="E204" s="11" t="s">
        <v>50</v>
      </c>
      <c r="F204" s="11" t="s">
        <v>38</v>
      </c>
      <c r="G204" s="12">
        <v>11561.13</v>
      </c>
      <c r="H204" s="11" t="s">
        <v>20</v>
      </c>
      <c r="I204" s="13">
        <v>20460</v>
      </c>
      <c r="J204" s="14">
        <f t="shared" ca="1" si="1"/>
        <v>70</v>
      </c>
      <c r="K204" s="14">
        <f t="shared" ca="1" si="0"/>
        <v>11</v>
      </c>
    </row>
    <row r="205" spans="1:11" ht="12.75" customHeight="1" x14ac:dyDescent="0.3">
      <c r="A205" s="9">
        <v>1587</v>
      </c>
      <c r="B205" s="10" t="s">
        <v>345</v>
      </c>
      <c r="C205" s="10" t="s">
        <v>136</v>
      </c>
      <c r="D205" s="11">
        <v>3644</v>
      </c>
      <c r="E205" s="11" t="s">
        <v>14</v>
      </c>
      <c r="F205" s="11" t="s">
        <v>29</v>
      </c>
      <c r="G205" s="12">
        <v>8322.5400000000009</v>
      </c>
      <c r="H205" s="11" t="s">
        <v>16</v>
      </c>
      <c r="I205" s="13">
        <v>23127</v>
      </c>
      <c r="J205" s="14">
        <f t="shared" ca="1" si="1"/>
        <v>62</v>
      </c>
      <c r="K205" s="14">
        <f t="shared" ca="1" si="0"/>
        <v>9</v>
      </c>
    </row>
    <row r="206" spans="1:11" ht="12.75" customHeight="1" x14ac:dyDescent="0.3">
      <c r="A206" s="9">
        <v>1021</v>
      </c>
      <c r="B206" s="10" t="s">
        <v>346</v>
      </c>
      <c r="C206" s="10" t="s">
        <v>108</v>
      </c>
      <c r="D206" s="11">
        <v>3032</v>
      </c>
      <c r="E206" s="11" t="s">
        <v>19</v>
      </c>
      <c r="F206" s="11" t="s">
        <v>29</v>
      </c>
      <c r="G206" s="12">
        <v>14569.63</v>
      </c>
      <c r="H206" s="11" t="s">
        <v>16</v>
      </c>
      <c r="I206" s="13">
        <v>31324</v>
      </c>
      <c r="J206" s="14">
        <f t="shared" ca="1" si="1"/>
        <v>40</v>
      </c>
      <c r="K206" s="14">
        <f t="shared" ca="1" si="0"/>
        <v>5</v>
      </c>
    </row>
    <row r="207" spans="1:11" ht="12.75" customHeight="1" x14ac:dyDescent="0.3">
      <c r="A207" s="9">
        <v>1333</v>
      </c>
      <c r="B207" s="10" t="s">
        <v>347</v>
      </c>
      <c r="C207" s="10" t="s">
        <v>348</v>
      </c>
      <c r="D207" s="11">
        <v>3723</v>
      </c>
      <c r="E207" s="11" t="s">
        <v>43</v>
      </c>
      <c r="F207" s="11" t="s">
        <v>15</v>
      </c>
      <c r="G207" s="12">
        <v>10022.629999999999</v>
      </c>
      <c r="H207" s="11" t="s">
        <v>16</v>
      </c>
      <c r="I207" s="13">
        <v>21937</v>
      </c>
      <c r="J207" s="14">
        <f t="shared" ca="1" si="1"/>
        <v>66</v>
      </c>
      <c r="K207" s="14">
        <f t="shared" ca="1" si="0"/>
        <v>10</v>
      </c>
    </row>
    <row r="208" spans="1:11" ht="12.75" customHeight="1" x14ac:dyDescent="0.3">
      <c r="A208" s="9">
        <v>1397</v>
      </c>
      <c r="B208" s="10" t="s">
        <v>349</v>
      </c>
      <c r="C208" s="10" t="s">
        <v>350</v>
      </c>
      <c r="D208" s="11">
        <v>3067</v>
      </c>
      <c r="E208" s="11" t="s">
        <v>43</v>
      </c>
      <c r="F208" s="11" t="s">
        <v>15</v>
      </c>
      <c r="G208" s="12">
        <v>20409.72</v>
      </c>
      <c r="H208" s="11" t="s">
        <v>16</v>
      </c>
      <c r="I208" s="13">
        <v>21091</v>
      </c>
      <c r="J208" s="14">
        <f t="shared" ca="1" si="1"/>
        <v>68</v>
      </c>
      <c r="K208" s="14">
        <f t="shared" ca="1" si="0"/>
        <v>10</v>
      </c>
    </row>
    <row r="209" spans="1:11" ht="12.75" customHeight="1" x14ac:dyDescent="0.3">
      <c r="A209" s="9">
        <v>1373</v>
      </c>
      <c r="B209" s="10" t="s">
        <v>351</v>
      </c>
      <c r="C209" s="10" t="s">
        <v>217</v>
      </c>
      <c r="D209" s="11">
        <v>3764</v>
      </c>
      <c r="E209" s="11" t="s">
        <v>14</v>
      </c>
      <c r="F209" s="11" t="s">
        <v>29</v>
      </c>
      <c r="G209" s="12">
        <v>18798.93</v>
      </c>
      <c r="H209" s="11" t="s">
        <v>20</v>
      </c>
      <c r="I209" s="13">
        <v>21461</v>
      </c>
      <c r="J209" s="14">
        <f t="shared" ca="1" si="1"/>
        <v>67</v>
      </c>
      <c r="K209" s="14">
        <f t="shared" ca="1" si="0"/>
        <v>10</v>
      </c>
    </row>
    <row r="210" spans="1:11" ht="12.75" customHeight="1" x14ac:dyDescent="0.3">
      <c r="A210" s="9">
        <v>1125</v>
      </c>
      <c r="B210" s="10" t="s">
        <v>352</v>
      </c>
      <c r="C210" s="10" t="s">
        <v>353</v>
      </c>
      <c r="D210" s="11">
        <v>3881</v>
      </c>
      <c r="E210" s="11" t="s">
        <v>14</v>
      </c>
      <c r="F210" s="11" t="s">
        <v>29</v>
      </c>
      <c r="G210" s="12">
        <v>6508.08</v>
      </c>
      <c r="H210" s="11" t="s">
        <v>20</v>
      </c>
      <c r="I210" s="13">
        <v>27575</v>
      </c>
      <c r="J210" s="14">
        <f t="shared" ca="1" si="1"/>
        <v>50</v>
      </c>
      <c r="K210" s="14">
        <f t="shared" ca="1" si="0"/>
        <v>7</v>
      </c>
    </row>
    <row r="211" spans="1:11" ht="12.75" customHeight="1" x14ac:dyDescent="0.3">
      <c r="A211" s="9">
        <v>1217</v>
      </c>
      <c r="B211" s="10" t="s">
        <v>354</v>
      </c>
      <c r="C211" s="10" t="s">
        <v>355</v>
      </c>
      <c r="D211" s="11">
        <v>3670</v>
      </c>
      <c r="E211" s="11" t="s">
        <v>23</v>
      </c>
      <c r="F211" s="11" t="s">
        <v>15</v>
      </c>
      <c r="G211" s="12">
        <v>19004.669999999998</v>
      </c>
      <c r="H211" s="11" t="s">
        <v>20</v>
      </c>
      <c r="I211" s="13">
        <v>25090</v>
      </c>
      <c r="J211" s="14">
        <f t="shared" ca="1" si="1"/>
        <v>57</v>
      </c>
      <c r="K211" s="14">
        <f t="shared" ca="1" si="0"/>
        <v>8</v>
      </c>
    </row>
    <row r="212" spans="1:11" ht="12.75" customHeight="1" x14ac:dyDescent="0.3">
      <c r="A212" s="9">
        <v>1255</v>
      </c>
      <c r="B212" s="10" t="s">
        <v>356</v>
      </c>
      <c r="C212" s="10" t="s">
        <v>188</v>
      </c>
      <c r="D212" s="11">
        <v>3073</v>
      </c>
      <c r="E212" s="11" t="s">
        <v>14</v>
      </c>
      <c r="F212" s="11" t="s">
        <v>29</v>
      </c>
      <c r="G212" s="12">
        <v>16991.62</v>
      </c>
      <c r="H212" s="11" t="s">
        <v>16</v>
      </c>
      <c r="I212" s="13">
        <v>23220</v>
      </c>
      <c r="J212" s="14">
        <f t="shared" ca="1" si="1"/>
        <v>62</v>
      </c>
      <c r="K212" s="14">
        <f t="shared" ca="1" si="0"/>
        <v>9</v>
      </c>
    </row>
    <row r="213" spans="1:11" ht="12.75" customHeight="1" x14ac:dyDescent="0.3">
      <c r="A213" s="9">
        <v>1399</v>
      </c>
      <c r="B213" s="10" t="s">
        <v>357</v>
      </c>
      <c r="C213" s="10" t="s">
        <v>248</v>
      </c>
      <c r="D213" s="11">
        <v>3630</v>
      </c>
      <c r="E213" s="11" t="s">
        <v>19</v>
      </c>
      <c r="F213" s="11" t="s">
        <v>29</v>
      </c>
      <c r="G213" s="12">
        <v>11567.12</v>
      </c>
      <c r="H213" s="11" t="s">
        <v>20</v>
      </c>
      <c r="I213" s="13">
        <v>21272</v>
      </c>
      <c r="J213" s="14">
        <f t="shared" ca="1" si="1"/>
        <v>67</v>
      </c>
      <c r="K213" s="14">
        <f t="shared" ca="1" si="0"/>
        <v>10</v>
      </c>
    </row>
    <row r="214" spans="1:11" ht="12.75" customHeight="1" x14ac:dyDescent="0.3">
      <c r="A214" s="9">
        <v>1271</v>
      </c>
      <c r="B214" s="10" t="s">
        <v>358</v>
      </c>
      <c r="C214" s="10" t="s">
        <v>63</v>
      </c>
      <c r="D214" s="11">
        <v>3413</v>
      </c>
      <c r="E214" s="11" t="s">
        <v>50</v>
      </c>
      <c r="F214" s="11" t="s">
        <v>38</v>
      </c>
      <c r="G214" s="12">
        <v>17832.099999999999</v>
      </c>
      <c r="H214" s="11" t="s">
        <v>16</v>
      </c>
      <c r="I214" s="13">
        <v>22971</v>
      </c>
      <c r="J214" s="14">
        <f t="shared" ca="1" si="1"/>
        <v>63</v>
      </c>
      <c r="K214" s="14">
        <f t="shared" ca="1" si="0"/>
        <v>9</v>
      </c>
    </row>
    <row r="215" spans="1:11" ht="12.75" customHeight="1" x14ac:dyDescent="0.3">
      <c r="A215" s="9">
        <v>1411</v>
      </c>
      <c r="B215" s="10" t="s">
        <v>359</v>
      </c>
      <c r="C215" s="10" t="s">
        <v>167</v>
      </c>
      <c r="D215" s="11">
        <v>3420</v>
      </c>
      <c r="E215" s="11" t="s">
        <v>19</v>
      </c>
      <c r="F215" s="11" t="s">
        <v>15</v>
      </c>
      <c r="G215" s="12">
        <v>18024.310000000001</v>
      </c>
      <c r="H215" s="11" t="s">
        <v>20</v>
      </c>
      <c r="I215" s="13">
        <v>20762</v>
      </c>
      <c r="J215" s="14">
        <f t="shared" ca="1" si="1"/>
        <v>69</v>
      </c>
      <c r="K215" s="14">
        <f t="shared" ca="1" si="0"/>
        <v>10</v>
      </c>
    </row>
    <row r="216" spans="1:11" ht="12.75" customHeight="1" x14ac:dyDescent="0.3">
      <c r="A216" s="9">
        <v>1165</v>
      </c>
      <c r="B216" s="10" t="s">
        <v>360</v>
      </c>
      <c r="C216" s="10" t="s">
        <v>361</v>
      </c>
      <c r="D216" s="11">
        <v>3128</v>
      </c>
      <c r="E216" s="11" t="s">
        <v>19</v>
      </c>
      <c r="F216" s="11" t="s">
        <v>29</v>
      </c>
      <c r="G216" s="12">
        <v>7233.96</v>
      </c>
      <c r="H216" s="11" t="s">
        <v>20</v>
      </c>
      <c r="I216" s="13">
        <v>26888</v>
      </c>
      <c r="J216" s="14">
        <f t="shared" ca="1" si="1"/>
        <v>52</v>
      </c>
      <c r="K216" s="14">
        <f t="shared" ca="1" si="0"/>
        <v>7</v>
      </c>
    </row>
    <row r="217" spans="1:11" ht="12.75" customHeight="1" x14ac:dyDescent="0.3">
      <c r="A217" s="9">
        <v>1579</v>
      </c>
      <c r="B217" s="10" t="s">
        <v>362</v>
      </c>
      <c r="C217" s="10" t="s">
        <v>323</v>
      </c>
      <c r="D217" s="11">
        <v>3142</v>
      </c>
      <c r="E217" s="11" t="s">
        <v>19</v>
      </c>
      <c r="F217" s="11" t="s">
        <v>29</v>
      </c>
      <c r="G217" s="12">
        <v>7939.64</v>
      </c>
      <c r="H217" s="11" t="s">
        <v>20</v>
      </c>
      <c r="I217" s="13">
        <v>24430</v>
      </c>
      <c r="J217" s="14">
        <f t="shared" ca="1" si="1"/>
        <v>59</v>
      </c>
      <c r="K217" s="14">
        <f t="shared" ca="1" si="0"/>
        <v>8</v>
      </c>
    </row>
    <row r="218" spans="1:11" ht="12.75" customHeight="1" x14ac:dyDescent="0.3">
      <c r="A218" s="9">
        <v>1071</v>
      </c>
      <c r="B218" s="10" t="s">
        <v>363</v>
      </c>
      <c r="C218" s="10" t="s">
        <v>116</v>
      </c>
      <c r="D218" s="11">
        <v>3552</v>
      </c>
      <c r="E218" s="11" t="s">
        <v>14</v>
      </c>
      <c r="F218" s="11" t="s">
        <v>29</v>
      </c>
      <c r="G218" s="12">
        <v>19955.68</v>
      </c>
      <c r="H218" s="11" t="s">
        <v>16</v>
      </c>
      <c r="I218" s="13">
        <v>28648</v>
      </c>
      <c r="J218" s="14">
        <f t="shared" ca="1" si="1"/>
        <v>47</v>
      </c>
      <c r="K218" s="14">
        <f t="shared" ca="1" si="0"/>
        <v>6</v>
      </c>
    </row>
    <row r="219" spans="1:11" ht="12.75" customHeight="1" x14ac:dyDescent="0.3">
      <c r="A219" s="9">
        <v>1059</v>
      </c>
      <c r="B219" s="10" t="s">
        <v>364</v>
      </c>
      <c r="C219" s="10" t="s">
        <v>251</v>
      </c>
      <c r="D219" s="11">
        <v>3409</v>
      </c>
      <c r="E219" s="11" t="s">
        <v>14</v>
      </c>
      <c r="F219" s="11" t="s">
        <v>15</v>
      </c>
      <c r="G219" s="12">
        <v>12926.92</v>
      </c>
      <c r="H219" s="11" t="s">
        <v>20</v>
      </c>
      <c r="I219" s="13">
        <v>29061</v>
      </c>
      <c r="J219" s="14">
        <f t="shared" ca="1" si="1"/>
        <v>46</v>
      </c>
      <c r="K219" s="14">
        <f t="shared" ca="1" si="0"/>
        <v>6</v>
      </c>
    </row>
    <row r="220" spans="1:11" ht="12.75" customHeight="1" x14ac:dyDescent="0.3">
      <c r="A220" s="9">
        <v>1459</v>
      </c>
      <c r="B220" s="10" t="s">
        <v>365</v>
      </c>
      <c r="C220" s="10" t="s">
        <v>217</v>
      </c>
      <c r="D220" s="11">
        <v>3733</v>
      </c>
      <c r="E220" s="11" t="s">
        <v>14</v>
      </c>
      <c r="F220" s="11" t="s">
        <v>29</v>
      </c>
      <c r="G220" s="12">
        <v>9660.0300000000007</v>
      </c>
      <c r="H220" s="11" t="s">
        <v>20</v>
      </c>
      <c r="I220" s="13">
        <v>23958</v>
      </c>
      <c r="J220" s="14">
        <f t="shared" ca="1" si="1"/>
        <v>60</v>
      </c>
      <c r="K220" s="14">
        <f t="shared" ca="1" si="0"/>
        <v>9</v>
      </c>
    </row>
    <row r="221" spans="1:11" ht="12.75" customHeight="1" x14ac:dyDescent="0.3">
      <c r="A221" s="9">
        <v>1273</v>
      </c>
      <c r="B221" s="10" t="s">
        <v>366</v>
      </c>
      <c r="C221" s="10" t="s">
        <v>56</v>
      </c>
      <c r="D221" s="11">
        <v>3765</v>
      </c>
      <c r="E221" s="11" t="s">
        <v>14</v>
      </c>
      <c r="F221" s="11" t="s">
        <v>15</v>
      </c>
      <c r="G221" s="12">
        <v>8360.74</v>
      </c>
      <c r="H221" s="11" t="s">
        <v>20</v>
      </c>
      <c r="I221" s="13">
        <v>22907</v>
      </c>
      <c r="J221" s="14">
        <f t="shared" ca="1" si="1"/>
        <v>63</v>
      </c>
      <c r="K221" s="14">
        <f t="shared" ca="1" si="0"/>
        <v>9</v>
      </c>
    </row>
    <row r="222" spans="1:11" ht="12.75" customHeight="1" x14ac:dyDescent="0.3">
      <c r="A222" s="9">
        <v>1503</v>
      </c>
      <c r="B222" s="10" t="s">
        <v>367</v>
      </c>
      <c r="C222" s="10" t="s">
        <v>368</v>
      </c>
      <c r="D222" s="11">
        <v>3139</v>
      </c>
      <c r="E222" s="11" t="s">
        <v>19</v>
      </c>
      <c r="F222" s="11" t="s">
        <v>29</v>
      </c>
      <c r="G222" s="12">
        <v>13405.46</v>
      </c>
      <c r="H222" s="11" t="s">
        <v>16</v>
      </c>
      <c r="I222" s="13">
        <v>23070</v>
      </c>
      <c r="J222" s="14">
        <f t="shared" ca="1" si="1"/>
        <v>63</v>
      </c>
      <c r="K222" s="14">
        <f t="shared" ca="1" si="0"/>
        <v>9</v>
      </c>
    </row>
    <row r="223" spans="1:11" ht="12.75" customHeight="1" x14ac:dyDescent="0.3">
      <c r="A223" s="9">
        <v>1301</v>
      </c>
      <c r="B223" s="10" t="s">
        <v>369</v>
      </c>
      <c r="C223" s="10" t="s">
        <v>370</v>
      </c>
      <c r="D223" s="11">
        <v>3015</v>
      </c>
      <c r="E223" s="11" t="s">
        <v>43</v>
      </c>
      <c r="F223" s="11" t="s">
        <v>29</v>
      </c>
      <c r="G223" s="12">
        <v>18220.09</v>
      </c>
      <c r="H223" s="11" t="s">
        <v>16</v>
      </c>
      <c r="I223" s="13">
        <v>22096</v>
      </c>
      <c r="J223" s="14">
        <f t="shared" ca="1" si="1"/>
        <v>65</v>
      </c>
      <c r="K223" s="14">
        <f t="shared" ca="1" si="0"/>
        <v>10</v>
      </c>
    </row>
    <row r="224" spans="1:11" ht="12.75" customHeight="1" x14ac:dyDescent="0.3">
      <c r="A224" s="9">
        <v>1461</v>
      </c>
      <c r="B224" s="10" t="s">
        <v>371</v>
      </c>
      <c r="C224" s="10" t="s">
        <v>108</v>
      </c>
      <c r="D224" s="11">
        <v>3103</v>
      </c>
      <c r="E224" s="11" t="s">
        <v>19</v>
      </c>
      <c r="F224" s="11" t="s">
        <v>29</v>
      </c>
      <c r="G224" s="12">
        <v>14369.68</v>
      </c>
      <c r="H224" s="11" t="s">
        <v>16</v>
      </c>
      <c r="I224" s="13">
        <v>20192</v>
      </c>
      <c r="J224" s="14">
        <f t="shared" ca="1" si="1"/>
        <v>70</v>
      </c>
      <c r="K224" s="14">
        <f t="shared" ca="1" si="0"/>
        <v>11</v>
      </c>
    </row>
    <row r="225" spans="1:11" ht="12.75" customHeight="1" x14ac:dyDescent="0.3">
      <c r="A225" s="9">
        <v>1167</v>
      </c>
      <c r="B225" s="10" t="s">
        <v>372</v>
      </c>
      <c r="C225" s="10" t="s">
        <v>94</v>
      </c>
      <c r="D225" s="11">
        <v>3083</v>
      </c>
      <c r="E225" s="11" t="s">
        <v>14</v>
      </c>
      <c r="F225" s="11" t="s">
        <v>15</v>
      </c>
      <c r="G225" s="12">
        <v>7716.69</v>
      </c>
      <c r="H225" s="11" t="s">
        <v>16</v>
      </c>
      <c r="I225" s="13">
        <v>27093</v>
      </c>
      <c r="J225" s="14">
        <f t="shared" ca="1" si="1"/>
        <v>52</v>
      </c>
      <c r="K225" s="14">
        <f t="shared" ca="1" si="0"/>
        <v>7</v>
      </c>
    </row>
    <row r="226" spans="1:11" ht="12.75" customHeight="1" x14ac:dyDescent="0.3">
      <c r="A226" s="9">
        <v>1437</v>
      </c>
      <c r="B226" s="10" t="s">
        <v>373</v>
      </c>
      <c r="C226" s="10" t="s">
        <v>374</v>
      </c>
      <c r="D226" s="11">
        <v>3917</v>
      </c>
      <c r="E226" s="11" t="s">
        <v>50</v>
      </c>
      <c r="F226" s="11" t="s">
        <v>15</v>
      </c>
      <c r="G226" s="12">
        <v>7134.87</v>
      </c>
      <c r="H226" s="11" t="s">
        <v>16</v>
      </c>
      <c r="I226" s="13">
        <v>20294</v>
      </c>
      <c r="J226" s="14">
        <f t="shared" ca="1" si="1"/>
        <v>70</v>
      </c>
      <c r="K226" s="14">
        <f t="shared" ca="1" si="0"/>
        <v>11</v>
      </c>
    </row>
    <row r="227" spans="1:11" ht="12.75" customHeight="1" x14ac:dyDescent="0.3">
      <c r="A227" s="9">
        <v>1291</v>
      </c>
      <c r="B227" s="10" t="s">
        <v>375</v>
      </c>
      <c r="C227" s="10" t="s">
        <v>138</v>
      </c>
      <c r="D227" s="11">
        <v>3198</v>
      </c>
      <c r="E227" s="11" t="s">
        <v>19</v>
      </c>
      <c r="F227" s="11" t="s">
        <v>29</v>
      </c>
      <c r="G227" s="12">
        <v>18971.62</v>
      </c>
      <c r="H227" s="11" t="s">
        <v>20</v>
      </c>
      <c r="I227" s="13">
        <v>22448</v>
      </c>
      <c r="J227" s="14">
        <f t="shared" ca="1" si="1"/>
        <v>64</v>
      </c>
      <c r="K227" s="14">
        <f t="shared" ca="1" si="0"/>
        <v>9</v>
      </c>
    </row>
    <row r="228" spans="1:11" ht="12.75" customHeight="1" x14ac:dyDescent="0.3">
      <c r="A228" s="9">
        <v>1463</v>
      </c>
      <c r="B228" s="10" t="s">
        <v>376</v>
      </c>
      <c r="C228" s="10" t="s">
        <v>131</v>
      </c>
      <c r="D228" s="11">
        <v>3092</v>
      </c>
      <c r="E228" s="11" t="s">
        <v>14</v>
      </c>
      <c r="F228" s="11" t="s">
        <v>38</v>
      </c>
      <c r="G228" s="12">
        <v>8435.25</v>
      </c>
      <c r="H228" s="11" t="s">
        <v>20</v>
      </c>
      <c r="I228" s="13">
        <v>19899</v>
      </c>
      <c r="J228" s="14">
        <f t="shared" ca="1" si="1"/>
        <v>71</v>
      </c>
      <c r="K228" s="14">
        <f t="shared" ca="1" si="0"/>
        <v>11</v>
      </c>
    </row>
    <row r="229" spans="1:11" ht="12.75" customHeight="1" x14ac:dyDescent="0.3">
      <c r="A229" s="9">
        <v>1061</v>
      </c>
      <c r="B229" s="10" t="s">
        <v>377</v>
      </c>
      <c r="C229" s="10" t="s">
        <v>378</v>
      </c>
      <c r="D229" s="11">
        <v>3703</v>
      </c>
      <c r="E229" s="11" t="s">
        <v>14</v>
      </c>
      <c r="F229" s="11" t="s">
        <v>38</v>
      </c>
      <c r="G229" s="12">
        <v>15720.31</v>
      </c>
      <c r="H229" s="11" t="s">
        <v>20</v>
      </c>
      <c r="I229" s="13">
        <v>29083</v>
      </c>
      <c r="J229" s="14">
        <f t="shared" ca="1" si="1"/>
        <v>46</v>
      </c>
      <c r="K229" s="14">
        <f t="shared" ca="1" si="0"/>
        <v>6</v>
      </c>
    </row>
    <row r="230" spans="1:11" ht="12.75" customHeight="1" x14ac:dyDescent="0.3">
      <c r="A230" s="9">
        <v>1465</v>
      </c>
      <c r="B230" s="10" t="s">
        <v>379</v>
      </c>
      <c r="C230" s="10" t="s">
        <v>380</v>
      </c>
      <c r="D230" s="11">
        <v>3004</v>
      </c>
      <c r="E230" s="11" t="s">
        <v>43</v>
      </c>
      <c r="F230" s="11" t="s">
        <v>29</v>
      </c>
      <c r="G230" s="12">
        <v>12343.81</v>
      </c>
      <c r="H230" s="11" t="s">
        <v>20</v>
      </c>
      <c r="I230" s="13">
        <v>20218</v>
      </c>
      <c r="J230" s="14">
        <f t="shared" ca="1" si="1"/>
        <v>70</v>
      </c>
      <c r="K230" s="14">
        <f t="shared" ca="1" si="0"/>
        <v>11</v>
      </c>
    </row>
    <row r="231" spans="1:11" ht="12.75" customHeight="1" x14ac:dyDescent="0.3">
      <c r="A231" s="9">
        <v>1439</v>
      </c>
      <c r="B231" s="10" t="s">
        <v>381</v>
      </c>
      <c r="C231" s="10" t="s">
        <v>382</v>
      </c>
      <c r="D231" s="11">
        <v>3182</v>
      </c>
      <c r="E231" s="11" t="s">
        <v>50</v>
      </c>
      <c r="F231" s="11" t="s">
        <v>15</v>
      </c>
      <c r="G231" s="12">
        <v>8778.02</v>
      </c>
      <c r="H231" s="11" t="s">
        <v>16</v>
      </c>
      <c r="I231" s="13">
        <v>20545</v>
      </c>
      <c r="J231" s="14">
        <f t="shared" ca="1" si="1"/>
        <v>69</v>
      </c>
      <c r="K231" s="14">
        <f t="shared" ca="1" si="0"/>
        <v>10</v>
      </c>
    </row>
    <row r="232" spans="1:11" ht="12.75" customHeight="1" x14ac:dyDescent="0.3">
      <c r="A232" s="9">
        <v>1335</v>
      </c>
      <c r="B232" s="10" t="s">
        <v>383</v>
      </c>
      <c r="C232" s="10" t="s">
        <v>52</v>
      </c>
      <c r="D232" s="11">
        <v>3208</v>
      </c>
      <c r="E232" s="11" t="s">
        <v>14</v>
      </c>
      <c r="F232" s="11" t="s">
        <v>15</v>
      </c>
      <c r="G232" s="12">
        <v>6385.74</v>
      </c>
      <c r="H232" s="11" t="s">
        <v>16</v>
      </c>
      <c r="I232" s="13">
        <v>21941</v>
      </c>
      <c r="J232" s="14">
        <f t="shared" ca="1" si="1"/>
        <v>66</v>
      </c>
      <c r="K232" s="14">
        <f t="shared" ca="1" si="0"/>
        <v>10</v>
      </c>
    </row>
    <row r="233" spans="1:11" ht="12.75" customHeight="1" x14ac:dyDescent="0.3">
      <c r="A233" s="9">
        <v>1401</v>
      </c>
      <c r="B233" s="10" t="s">
        <v>384</v>
      </c>
      <c r="C233" s="10" t="s">
        <v>385</v>
      </c>
      <c r="D233" s="11">
        <v>3125</v>
      </c>
      <c r="E233" s="11" t="s">
        <v>43</v>
      </c>
      <c r="F233" s="11" t="s">
        <v>29</v>
      </c>
      <c r="G233" s="12">
        <v>9679.08</v>
      </c>
      <c r="H233" s="11" t="s">
        <v>16</v>
      </c>
      <c r="I233" s="13">
        <v>21097</v>
      </c>
      <c r="J233" s="14">
        <f t="shared" ca="1" si="1"/>
        <v>68</v>
      </c>
      <c r="K233" s="14">
        <f t="shared" ca="1" si="0"/>
        <v>10</v>
      </c>
    </row>
    <row r="234" spans="1:11" ht="12.75" customHeight="1" x14ac:dyDescent="0.3">
      <c r="A234" s="9">
        <v>1143</v>
      </c>
      <c r="B234" s="10" t="s">
        <v>386</v>
      </c>
      <c r="C234" s="10" t="s">
        <v>18</v>
      </c>
      <c r="D234" s="11">
        <v>3174</v>
      </c>
      <c r="E234" s="11" t="s">
        <v>19</v>
      </c>
      <c r="F234" s="11" t="s">
        <v>15</v>
      </c>
      <c r="G234" s="12">
        <v>17070.91</v>
      </c>
      <c r="H234" s="11" t="s">
        <v>20</v>
      </c>
      <c r="I234" s="13">
        <v>27508</v>
      </c>
      <c r="J234" s="14">
        <f t="shared" ca="1" si="1"/>
        <v>50</v>
      </c>
      <c r="K234" s="14">
        <f t="shared" ca="1" si="0"/>
        <v>7</v>
      </c>
    </row>
    <row r="235" spans="1:11" ht="12.75" customHeight="1" x14ac:dyDescent="0.3">
      <c r="A235" s="9">
        <v>1511</v>
      </c>
      <c r="B235" s="10" t="s">
        <v>387</v>
      </c>
      <c r="C235" s="10" t="s">
        <v>388</v>
      </c>
      <c r="D235" s="11">
        <v>3079</v>
      </c>
      <c r="E235" s="11" t="s">
        <v>14</v>
      </c>
      <c r="F235" s="11" t="s">
        <v>15</v>
      </c>
      <c r="G235" s="12">
        <v>16712.830000000002</v>
      </c>
      <c r="H235" s="11" t="s">
        <v>16</v>
      </c>
      <c r="I235" s="13">
        <v>26475</v>
      </c>
      <c r="J235" s="14">
        <f t="shared" ca="1" si="1"/>
        <v>53</v>
      </c>
      <c r="K235" s="14">
        <f t="shared" ca="1" si="0"/>
        <v>7</v>
      </c>
    </row>
    <row r="236" spans="1:11" ht="12.75" customHeight="1" x14ac:dyDescent="0.3">
      <c r="A236" s="9">
        <v>1505</v>
      </c>
      <c r="B236" s="10" t="s">
        <v>389</v>
      </c>
      <c r="C236" s="10" t="s">
        <v>390</v>
      </c>
      <c r="D236" s="11">
        <v>3629</v>
      </c>
      <c r="E236" s="11" t="s">
        <v>19</v>
      </c>
      <c r="F236" s="11" t="s">
        <v>29</v>
      </c>
      <c r="G236" s="12">
        <v>17492.509999999998</v>
      </c>
      <c r="H236" s="11" t="s">
        <v>20</v>
      </c>
      <c r="I236" s="13">
        <v>23135</v>
      </c>
      <c r="J236" s="14">
        <f t="shared" ca="1" si="1"/>
        <v>62</v>
      </c>
      <c r="K236" s="14">
        <f t="shared" ca="1" si="0"/>
        <v>9</v>
      </c>
    </row>
    <row r="237" spans="1:11" ht="12.75" customHeight="1" x14ac:dyDescent="0.3">
      <c r="A237" s="9">
        <v>1107</v>
      </c>
      <c r="B237" s="10" t="s">
        <v>391</v>
      </c>
      <c r="C237" s="10" t="s">
        <v>392</v>
      </c>
      <c r="D237" s="11">
        <v>3017</v>
      </c>
      <c r="E237" s="11" t="s">
        <v>14</v>
      </c>
      <c r="F237" s="11" t="s">
        <v>29</v>
      </c>
      <c r="G237" s="12">
        <v>16624.86</v>
      </c>
      <c r="H237" s="11" t="s">
        <v>16</v>
      </c>
      <c r="I237" s="13">
        <v>28044</v>
      </c>
      <c r="J237" s="14">
        <f t="shared" ca="1" si="1"/>
        <v>49</v>
      </c>
      <c r="K237" s="14">
        <f t="shared" ca="1" si="0"/>
        <v>6</v>
      </c>
    </row>
    <row r="238" spans="1:11" ht="12.75" customHeight="1" x14ac:dyDescent="0.3">
      <c r="A238" s="9">
        <v>1275</v>
      </c>
      <c r="B238" s="10" t="s">
        <v>391</v>
      </c>
      <c r="C238" s="10" t="s">
        <v>37</v>
      </c>
      <c r="D238" s="11">
        <v>3531</v>
      </c>
      <c r="E238" s="11" t="s">
        <v>14</v>
      </c>
      <c r="F238" s="11" t="s">
        <v>38</v>
      </c>
      <c r="G238" s="12">
        <v>9896.7099999999991</v>
      </c>
      <c r="H238" s="11" t="s">
        <v>16</v>
      </c>
      <c r="I238" s="13">
        <v>22998</v>
      </c>
      <c r="J238" s="14">
        <f t="shared" ca="1" si="1"/>
        <v>63</v>
      </c>
      <c r="K238" s="14">
        <f t="shared" ca="1" si="0"/>
        <v>9</v>
      </c>
    </row>
    <row r="239" spans="1:11" ht="12.75" customHeight="1" x14ac:dyDescent="0.3">
      <c r="A239" s="9">
        <v>1477</v>
      </c>
      <c r="B239" s="10" t="s">
        <v>393</v>
      </c>
      <c r="C239" s="10" t="s">
        <v>394</v>
      </c>
      <c r="D239" s="11">
        <v>3916</v>
      </c>
      <c r="E239" s="11" t="s">
        <v>43</v>
      </c>
      <c r="F239" s="11" t="s">
        <v>15</v>
      </c>
      <c r="G239" s="12">
        <v>7451.7</v>
      </c>
      <c r="H239" s="11" t="s">
        <v>20</v>
      </c>
      <c r="I239" s="13">
        <v>23624</v>
      </c>
      <c r="J239" s="14">
        <f t="shared" ca="1" si="1"/>
        <v>61</v>
      </c>
      <c r="K239" s="14">
        <f t="shared" ca="1" si="0"/>
        <v>9</v>
      </c>
    </row>
    <row r="240" spans="1:11" ht="12.75" customHeight="1" x14ac:dyDescent="0.3">
      <c r="A240" s="9">
        <v>1127</v>
      </c>
      <c r="B240" s="10" t="s">
        <v>395</v>
      </c>
      <c r="C240" s="10" t="s">
        <v>217</v>
      </c>
      <c r="D240" s="11">
        <v>3166</v>
      </c>
      <c r="E240" s="11" t="s">
        <v>43</v>
      </c>
      <c r="F240" s="11" t="s">
        <v>29</v>
      </c>
      <c r="G240" s="12">
        <v>15966.44</v>
      </c>
      <c r="H240" s="11" t="s">
        <v>20</v>
      </c>
      <c r="I240" s="13">
        <v>27579</v>
      </c>
      <c r="J240" s="14">
        <f t="shared" ca="1" si="1"/>
        <v>50</v>
      </c>
      <c r="K240" s="14">
        <f t="shared" ca="1" si="0"/>
        <v>7</v>
      </c>
    </row>
    <row r="241" spans="1:11" ht="12.75" customHeight="1" x14ac:dyDescent="0.3">
      <c r="A241" s="9">
        <v>1257</v>
      </c>
      <c r="B241" s="10" t="s">
        <v>396</v>
      </c>
      <c r="C241" s="10" t="s">
        <v>397</v>
      </c>
      <c r="D241" s="11">
        <v>3663</v>
      </c>
      <c r="E241" s="11" t="s">
        <v>43</v>
      </c>
      <c r="F241" s="11" t="s">
        <v>29</v>
      </c>
      <c r="G241" s="12">
        <v>14593.66</v>
      </c>
      <c r="H241" s="11" t="s">
        <v>16</v>
      </c>
      <c r="I241" s="13">
        <v>23165</v>
      </c>
      <c r="J241" s="14">
        <f t="shared" ca="1" si="1"/>
        <v>62</v>
      </c>
      <c r="K241" s="14">
        <f t="shared" ca="1" si="0"/>
        <v>9</v>
      </c>
    </row>
    <row r="242" spans="1:11" ht="12.75" customHeight="1" x14ac:dyDescent="0.3">
      <c r="A242" s="9">
        <v>1097</v>
      </c>
      <c r="B242" s="10" t="s">
        <v>398</v>
      </c>
      <c r="C242" s="10" t="s">
        <v>399</v>
      </c>
      <c r="D242" s="11">
        <v>3077</v>
      </c>
      <c r="E242" s="11" t="s">
        <v>19</v>
      </c>
      <c r="F242" s="11" t="s">
        <v>15</v>
      </c>
      <c r="G242" s="12">
        <v>17496.3</v>
      </c>
      <c r="H242" s="11" t="s">
        <v>16</v>
      </c>
      <c r="I242" s="13">
        <v>28468</v>
      </c>
      <c r="J242" s="14">
        <f t="shared" ca="1" si="1"/>
        <v>48</v>
      </c>
      <c r="K242" s="14">
        <f t="shared" ca="1" si="0"/>
        <v>6</v>
      </c>
    </row>
    <row r="243" spans="1:11" ht="12.75" customHeight="1" x14ac:dyDescent="0.3">
      <c r="A243" s="9">
        <v>1337</v>
      </c>
      <c r="B243" s="10" t="s">
        <v>400</v>
      </c>
      <c r="C243" s="10" t="s">
        <v>401</v>
      </c>
      <c r="D243" s="11">
        <v>3121</v>
      </c>
      <c r="E243" s="11" t="s">
        <v>19</v>
      </c>
      <c r="F243" s="11" t="s">
        <v>29</v>
      </c>
      <c r="G243" s="12">
        <v>13725.44</v>
      </c>
      <c r="H243" s="11" t="s">
        <v>16</v>
      </c>
      <c r="I243" s="13">
        <v>21890</v>
      </c>
      <c r="J243" s="14">
        <f t="shared" ca="1" si="1"/>
        <v>66</v>
      </c>
      <c r="K243" s="14">
        <f t="shared" ca="1" si="0"/>
        <v>10</v>
      </c>
    </row>
    <row r="244" spans="1:11" ht="12.75" customHeight="1" x14ac:dyDescent="0.3">
      <c r="A244" s="9">
        <v>1277</v>
      </c>
      <c r="B244" s="10" t="s">
        <v>402</v>
      </c>
      <c r="C244" s="10" t="s">
        <v>355</v>
      </c>
      <c r="D244" s="11">
        <v>3165</v>
      </c>
      <c r="E244" s="11" t="s">
        <v>23</v>
      </c>
      <c r="F244" s="11" t="s">
        <v>15</v>
      </c>
      <c r="G244" s="12">
        <v>8838.44</v>
      </c>
      <c r="H244" s="11" t="s">
        <v>20</v>
      </c>
      <c r="I244" s="13">
        <v>23052</v>
      </c>
      <c r="J244" s="14">
        <f t="shared" ca="1" si="1"/>
        <v>63</v>
      </c>
      <c r="K244" s="14">
        <f t="shared" ca="1" si="0"/>
        <v>9</v>
      </c>
    </row>
    <row r="245" spans="1:11" ht="12.75" customHeight="1" x14ac:dyDescent="0.3">
      <c r="A245" s="9">
        <v>1571</v>
      </c>
      <c r="B245" s="10" t="s">
        <v>403</v>
      </c>
      <c r="C245" s="10" t="s">
        <v>148</v>
      </c>
      <c r="D245" s="11">
        <v>3024</v>
      </c>
      <c r="E245" s="11" t="s">
        <v>14</v>
      </c>
      <c r="F245" s="11" t="s">
        <v>15</v>
      </c>
      <c r="G245" s="12">
        <v>16305.31</v>
      </c>
      <c r="H245" s="11" t="s">
        <v>20</v>
      </c>
      <c r="I245" s="13">
        <v>24811</v>
      </c>
      <c r="J245" s="14">
        <f t="shared" ca="1" si="1"/>
        <v>58</v>
      </c>
      <c r="K245" s="14">
        <f t="shared" ca="1" si="0"/>
        <v>8</v>
      </c>
    </row>
    <row r="246" spans="1:11" ht="12.75" customHeight="1" x14ac:dyDescent="0.3">
      <c r="A246" s="9">
        <v>1145</v>
      </c>
      <c r="B246" s="10" t="s">
        <v>404</v>
      </c>
      <c r="C246" s="10" t="s">
        <v>315</v>
      </c>
      <c r="D246" s="11">
        <v>3185</v>
      </c>
      <c r="E246" s="11" t="s">
        <v>14</v>
      </c>
      <c r="F246" s="11" t="s">
        <v>29</v>
      </c>
      <c r="G246" s="12">
        <v>9329.84</v>
      </c>
      <c r="H246" s="11" t="s">
        <v>16</v>
      </c>
      <c r="I246" s="13">
        <v>27311</v>
      </c>
      <c r="J246" s="14">
        <f t="shared" ca="1" si="1"/>
        <v>51</v>
      </c>
      <c r="K246" s="14">
        <f t="shared" ca="1" si="0"/>
        <v>7</v>
      </c>
    </row>
    <row r="247" spans="1:11" ht="12.75" customHeight="1" x14ac:dyDescent="0.3">
      <c r="A247" s="9">
        <v>1213</v>
      </c>
      <c r="B247" s="10" t="s">
        <v>405</v>
      </c>
      <c r="C247" s="10" t="s">
        <v>94</v>
      </c>
      <c r="D247" s="11">
        <v>3563</v>
      </c>
      <c r="E247" s="11" t="s">
        <v>19</v>
      </c>
      <c r="F247" s="11" t="s">
        <v>15</v>
      </c>
      <c r="G247" s="12">
        <v>10704.17</v>
      </c>
      <c r="H247" s="11" t="s">
        <v>16</v>
      </c>
      <c r="I247" s="13">
        <v>25458</v>
      </c>
      <c r="J247" s="14">
        <f t="shared" ca="1" si="1"/>
        <v>56</v>
      </c>
      <c r="K247" s="14">
        <f t="shared" ca="1" si="0"/>
        <v>8</v>
      </c>
    </row>
    <row r="248" spans="1:11" ht="12.75" customHeight="1" x14ac:dyDescent="0.3">
      <c r="A248" s="9">
        <v>1547</v>
      </c>
      <c r="B248" s="10" t="s">
        <v>406</v>
      </c>
      <c r="C248" s="10" t="s">
        <v>142</v>
      </c>
      <c r="D248" s="11">
        <v>3025</v>
      </c>
      <c r="E248" s="11" t="s">
        <v>50</v>
      </c>
      <c r="F248" s="11" t="s">
        <v>15</v>
      </c>
      <c r="G248" s="12">
        <v>11512.82</v>
      </c>
      <c r="H248" s="11" t="s">
        <v>16</v>
      </c>
      <c r="I248" s="13">
        <v>25418</v>
      </c>
      <c r="J248" s="14">
        <f t="shared" ca="1" si="1"/>
        <v>56</v>
      </c>
      <c r="K248" s="14">
        <f t="shared" ca="1" si="0"/>
        <v>8</v>
      </c>
    </row>
    <row r="249" spans="1:11" ht="12.75" customHeight="1" x14ac:dyDescent="0.3">
      <c r="A249" s="9">
        <v>1109</v>
      </c>
      <c r="B249" s="10" t="s">
        <v>407</v>
      </c>
      <c r="C249" s="10" t="s">
        <v>203</v>
      </c>
      <c r="D249" s="11">
        <v>3890</v>
      </c>
      <c r="E249" s="11" t="s">
        <v>43</v>
      </c>
      <c r="F249" s="11" t="s">
        <v>29</v>
      </c>
      <c r="G249" s="12">
        <v>12580.24</v>
      </c>
      <c r="H249" s="11" t="s">
        <v>16</v>
      </c>
      <c r="I249" s="13">
        <v>27992</v>
      </c>
      <c r="J249" s="14">
        <f t="shared" ca="1" si="1"/>
        <v>49</v>
      </c>
      <c r="K249" s="14">
        <f t="shared" ca="1" si="0"/>
        <v>6</v>
      </c>
    </row>
    <row r="250" spans="1:11" ht="12.75" customHeight="1" x14ac:dyDescent="0.3">
      <c r="A250" s="9">
        <v>1229</v>
      </c>
      <c r="B250" s="10" t="s">
        <v>408</v>
      </c>
      <c r="C250" s="10" t="s">
        <v>409</v>
      </c>
      <c r="D250" s="11">
        <v>3035</v>
      </c>
      <c r="E250" s="11" t="s">
        <v>19</v>
      </c>
      <c r="F250" s="11" t="s">
        <v>26</v>
      </c>
      <c r="G250" s="12">
        <v>15484.55</v>
      </c>
      <c r="H250" s="11" t="s">
        <v>20</v>
      </c>
      <c r="I250" s="13">
        <v>23984</v>
      </c>
      <c r="J250" s="14">
        <f t="shared" ca="1" si="1"/>
        <v>60</v>
      </c>
      <c r="K250" s="14">
        <f t="shared" ca="1" si="0"/>
        <v>9</v>
      </c>
    </row>
    <row r="251" spans="1:11" ht="12.75" customHeight="1" x14ac:dyDescent="0.3">
      <c r="A251" s="9">
        <v>1563</v>
      </c>
      <c r="B251" s="10" t="s">
        <v>410</v>
      </c>
      <c r="C251" s="10" t="s">
        <v>167</v>
      </c>
      <c r="D251" s="11">
        <v>3963</v>
      </c>
      <c r="E251" s="11" t="s">
        <v>43</v>
      </c>
      <c r="F251" s="11" t="s">
        <v>15</v>
      </c>
      <c r="G251" s="12">
        <v>6935.24</v>
      </c>
      <c r="H251" s="11" t="s">
        <v>20</v>
      </c>
      <c r="I251" s="13">
        <v>25277</v>
      </c>
      <c r="J251" s="14">
        <f t="shared" ca="1" si="1"/>
        <v>56</v>
      </c>
      <c r="K251" s="14">
        <f t="shared" ca="1" si="0"/>
        <v>8</v>
      </c>
    </row>
    <row r="252" spans="1:11" ht="12.75" customHeight="1" x14ac:dyDescent="0.3">
      <c r="A252" s="9">
        <v>1581</v>
      </c>
      <c r="B252" s="10" t="s">
        <v>411</v>
      </c>
      <c r="C252" s="10" t="s">
        <v>412</v>
      </c>
      <c r="D252" s="11">
        <v>3628</v>
      </c>
      <c r="E252" s="11" t="s">
        <v>14</v>
      </c>
      <c r="F252" s="11" t="s">
        <v>29</v>
      </c>
      <c r="G252" s="12">
        <v>13718.18</v>
      </c>
      <c r="H252" s="11" t="s">
        <v>16</v>
      </c>
      <c r="I252" s="13">
        <v>24146</v>
      </c>
      <c r="J252" s="14">
        <f t="shared" ca="1" si="1"/>
        <v>60</v>
      </c>
      <c r="K252" s="14">
        <f t="shared" ca="1" si="0"/>
        <v>9</v>
      </c>
    </row>
    <row r="253" spans="1:11" ht="12.75" customHeight="1" x14ac:dyDescent="0.3">
      <c r="A253" s="9">
        <v>1493</v>
      </c>
      <c r="B253" s="10" t="s">
        <v>413</v>
      </c>
      <c r="C253" s="10" t="s">
        <v>73</v>
      </c>
      <c r="D253" s="11">
        <v>3031</v>
      </c>
      <c r="E253" s="11" t="s">
        <v>14</v>
      </c>
      <c r="F253" s="11" t="s">
        <v>29</v>
      </c>
      <c r="G253" s="12">
        <v>15577.86</v>
      </c>
      <c r="H253" s="11" t="s">
        <v>16</v>
      </c>
      <c r="I253" s="13">
        <v>23254</v>
      </c>
      <c r="J253" s="14">
        <f t="shared" ca="1" si="1"/>
        <v>62</v>
      </c>
      <c r="K253" s="14">
        <f t="shared" ca="1" si="0"/>
        <v>9</v>
      </c>
    </row>
    <row r="254" spans="1:11" ht="12.75" customHeight="1" x14ac:dyDescent="0.3">
      <c r="A254" s="9">
        <v>1169</v>
      </c>
      <c r="B254" s="10" t="s">
        <v>414</v>
      </c>
      <c r="C254" s="10" t="s">
        <v>401</v>
      </c>
      <c r="D254" s="11">
        <v>3502</v>
      </c>
      <c r="E254" s="11" t="s">
        <v>19</v>
      </c>
      <c r="F254" s="11" t="s">
        <v>29</v>
      </c>
      <c r="G254" s="12">
        <v>14154.99</v>
      </c>
      <c r="H254" s="11" t="s">
        <v>16</v>
      </c>
      <c r="I254" s="13">
        <v>27159</v>
      </c>
      <c r="J254" s="14">
        <f t="shared" ca="1" si="1"/>
        <v>51</v>
      </c>
      <c r="K254" s="14">
        <f t="shared" ca="1" si="0"/>
        <v>7</v>
      </c>
    </row>
    <row r="255" spans="1:11" ht="12.75" customHeight="1" x14ac:dyDescent="0.3">
      <c r="A255" s="9">
        <v>1467</v>
      </c>
      <c r="B255" s="10" t="s">
        <v>415</v>
      </c>
      <c r="C255" s="10" t="s">
        <v>416</v>
      </c>
      <c r="D255" s="11">
        <v>3045</v>
      </c>
      <c r="E255" s="11" t="s">
        <v>23</v>
      </c>
      <c r="F255" s="11" t="s">
        <v>29</v>
      </c>
      <c r="G255" s="12">
        <v>8306.9</v>
      </c>
      <c r="H255" s="11" t="s">
        <v>16</v>
      </c>
      <c r="I255" s="13">
        <v>20231</v>
      </c>
      <c r="J255" s="14">
        <f t="shared" ca="1" si="1"/>
        <v>70</v>
      </c>
      <c r="K255" s="14">
        <f t="shared" ca="1" si="0"/>
        <v>11</v>
      </c>
    </row>
    <row r="256" spans="1:11" ht="12.75" customHeight="1" x14ac:dyDescent="0.3">
      <c r="A256" s="9">
        <v>1303</v>
      </c>
      <c r="B256" s="10" t="s">
        <v>417</v>
      </c>
      <c r="C256" s="10" t="s">
        <v>418</v>
      </c>
      <c r="D256" s="11">
        <v>3160</v>
      </c>
      <c r="E256" s="11" t="s">
        <v>14</v>
      </c>
      <c r="F256" s="11" t="s">
        <v>15</v>
      </c>
      <c r="G256" s="12">
        <v>15228.89</v>
      </c>
      <c r="H256" s="11" t="s">
        <v>16</v>
      </c>
      <c r="I256" s="13">
        <v>22263</v>
      </c>
      <c r="J256" s="14">
        <f t="shared" ca="1" si="1"/>
        <v>65</v>
      </c>
      <c r="K256" s="14">
        <f t="shared" ca="1" si="0"/>
        <v>10</v>
      </c>
    </row>
    <row r="257" spans="1:11" ht="12.75" customHeight="1" x14ac:dyDescent="0.3">
      <c r="A257" s="9">
        <v>1171</v>
      </c>
      <c r="B257" s="10" t="s">
        <v>419</v>
      </c>
      <c r="C257" s="10" t="s">
        <v>22</v>
      </c>
      <c r="D257" s="11">
        <v>3066</v>
      </c>
      <c r="E257" s="11" t="s">
        <v>23</v>
      </c>
      <c r="F257" s="11" t="s">
        <v>15</v>
      </c>
      <c r="G257" s="12">
        <v>14345.97</v>
      </c>
      <c r="H257" s="11" t="s">
        <v>20</v>
      </c>
      <c r="I257" s="13">
        <v>26893</v>
      </c>
      <c r="J257" s="14">
        <f t="shared" ref="J257:J285" ca="1" si="2">INT((TODAY()-I257)/365.25)</f>
        <v>52</v>
      </c>
      <c r="K257" s="14">
        <f t="shared" ref="K257:K285" ca="1" si="3">INT((J257-20)/5)+1</f>
        <v>7</v>
      </c>
    </row>
    <row r="258" spans="1:11" ht="12.75" customHeight="1" x14ac:dyDescent="0.3">
      <c r="A258" s="9">
        <v>1441</v>
      </c>
      <c r="B258" s="10" t="s">
        <v>420</v>
      </c>
      <c r="C258" s="10" t="s">
        <v>188</v>
      </c>
      <c r="D258" s="11">
        <v>3051</v>
      </c>
      <c r="E258" s="11" t="s">
        <v>43</v>
      </c>
      <c r="F258" s="11" t="s">
        <v>29</v>
      </c>
      <c r="G258" s="12">
        <v>14415.27</v>
      </c>
      <c r="H258" s="11" t="s">
        <v>16</v>
      </c>
      <c r="I258" s="13">
        <v>20328</v>
      </c>
      <c r="J258" s="14">
        <f t="shared" ca="1" si="2"/>
        <v>70</v>
      </c>
      <c r="K258" s="14">
        <f t="shared" ca="1" si="3"/>
        <v>11</v>
      </c>
    </row>
    <row r="259" spans="1:11" ht="12.75" customHeight="1" x14ac:dyDescent="0.3">
      <c r="A259" s="9">
        <v>1129</v>
      </c>
      <c r="B259" s="10" t="s">
        <v>421</v>
      </c>
      <c r="C259" s="10" t="s">
        <v>13</v>
      </c>
      <c r="D259" s="11">
        <v>3155</v>
      </c>
      <c r="E259" s="11" t="s">
        <v>43</v>
      </c>
      <c r="F259" s="11" t="s">
        <v>15</v>
      </c>
      <c r="G259" s="12">
        <v>20821.400000000001</v>
      </c>
      <c r="H259" s="11" t="s">
        <v>16</v>
      </c>
      <c r="I259" s="13">
        <v>27652</v>
      </c>
      <c r="J259" s="14">
        <f t="shared" ca="1" si="2"/>
        <v>50</v>
      </c>
      <c r="K259" s="14">
        <f t="shared" ca="1" si="3"/>
        <v>7</v>
      </c>
    </row>
    <row r="260" spans="1:11" ht="12.75" customHeight="1" x14ac:dyDescent="0.3">
      <c r="A260" s="9">
        <v>1339</v>
      </c>
      <c r="B260" s="10" t="s">
        <v>422</v>
      </c>
      <c r="C260" s="10" t="s">
        <v>423</v>
      </c>
      <c r="D260" s="11">
        <v>3980</v>
      </c>
      <c r="E260" s="11" t="s">
        <v>19</v>
      </c>
      <c r="F260" s="11" t="s">
        <v>26</v>
      </c>
      <c r="G260" s="12">
        <v>12610.66</v>
      </c>
      <c r="H260" s="11" t="s">
        <v>16</v>
      </c>
      <c r="I260" s="13">
        <v>21799</v>
      </c>
      <c r="J260" s="14">
        <f t="shared" ca="1" si="2"/>
        <v>66</v>
      </c>
      <c r="K260" s="14">
        <f t="shared" ca="1" si="3"/>
        <v>10</v>
      </c>
    </row>
    <row r="261" spans="1:11" ht="12.75" customHeight="1" x14ac:dyDescent="0.3">
      <c r="A261" s="9">
        <v>1375</v>
      </c>
      <c r="B261" s="10" t="s">
        <v>424</v>
      </c>
      <c r="C261" s="10" t="s">
        <v>33</v>
      </c>
      <c r="D261" s="11">
        <v>3624</v>
      </c>
      <c r="E261" s="11" t="s">
        <v>19</v>
      </c>
      <c r="F261" s="11" t="s">
        <v>26</v>
      </c>
      <c r="G261" s="12">
        <v>16065.92</v>
      </c>
      <c r="H261" s="11" t="s">
        <v>20</v>
      </c>
      <c r="I261" s="13">
        <v>21378</v>
      </c>
      <c r="J261" s="14">
        <f t="shared" ca="1" si="2"/>
        <v>67</v>
      </c>
      <c r="K261" s="14">
        <f t="shared" ca="1" si="3"/>
        <v>10</v>
      </c>
    </row>
    <row r="262" spans="1:11" ht="12.75" customHeight="1" x14ac:dyDescent="0.3">
      <c r="A262" s="9">
        <v>1207</v>
      </c>
      <c r="B262" s="10" t="s">
        <v>425</v>
      </c>
      <c r="C262" s="10" t="s">
        <v>426</v>
      </c>
      <c r="D262" s="11">
        <v>3133</v>
      </c>
      <c r="E262" s="11" t="s">
        <v>14</v>
      </c>
      <c r="F262" s="11" t="s">
        <v>38</v>
      </c>
      <c r="G262" s="12">
        <v>20500.91</v>
      </c>
      <c r="H262" s="11" t="s">
        <v>20</v>
      </c>
      <c r="I262" s="13">
        <v>26083</v>
      </c>
      <c r="J262" s="14">
        <f t="shared" ca="1" si="2"/>
        <v>54</v>
      </c>
      <c r="K262" s="14">
        <f t="shared" ca="1" si="3"/>
        <v>7</v>
      </c>
    </row>
    <row r="263" spans="1:11" ht="12.75" customHeight="1" x14ac:dyDescent="0.3">
      <c r="A263" s="9">
        <v>1539</v>
      </c>
      <c r="B263" s="10" t="s">
        <v>427</v>
      </c>
      <c r="C263" s="10" t="s">
        <v>428</v>
      </c>
      <c r="D263" s="11">
        <v>3569</v>
      </c>
      <c r="E263" s="11" t="s">
        <v>19</v>
      </c>
      <c r="F263" s="11" t="s">
        <v>15</v>
      </c>
      <c r="G263" s="12">
        <v>16564.27</v>
      </c>
      <c r="H263" s="11" t="s">
        <v>16</v>
      </c>
      <c r="I263" s="13">
        <v>26024</v>
      </c>
      <c r="J263" s="14">
        <f t="shared" ca="1" si="2"/>
        <v>54</v>
      </c>
      <c r="K263" s="14">
        <f t="shared" ca="1" si="3"/>
        <v>7</v>
      </c>
    </row>
    <row r="264" spans="1:11" ht="12.75" customHeight="1" x14ac:dyDescent="0.3">
      <c r="A264" s="9">
        <v>1523</v>
      </c>
      <c r="B264" s="10" t="s">
        <v>429</v>
      </c>
      <c r="C264" s="10" t="s">
        <v>148</v>
      </c>
      <c r="D264" s="11">
        <v>3185</v>
      </c>
      <c r="E264" s="11" t="s">
        <v>14</v>
      </c>
      <c r="F264" s="11" t="s">
        <v>15</v>
      </c>
      <c r="G264" s="12">
        <v>14950.4</v>
      </c>
      <c r="H264" s="11" t="s">
        <v>20</v>
      </c>
      <c r="I264" s="13">
        <v>26339</v>
      </c>
      <c r="J264" s="14">
        <f t="shared" ca="1" si="2"/>
        <v>54</v>
      </c>
      <c r="K264" s="14">
        <f t="shared" ca="1" si="3"/>
        <v>7</v>
      </c>
    </row>
    <row r="265" spans="1:11" ht="12.75" customHeight="1" x14ac:dyDescent="0.3">
      <c r="A265" s="9">
        <v>1173</v>
      </c>
      <c r="B265" s="10" t="s">
        <v>430</v>
      </c>
      <c r="C265" s="10" t="s">
        <v>431</v>
      </c>
      <c r="D265" s="11">
        <v>3102</v>
      </c>
      <c r="E265" s="11" t="s">
        <v>14</v>
      </c>
      <c r="F265" s="11" t="s">
        <v>29</v>
      </c>
      <c r="G265" s="12">
        <v>11043.7</v>
      </c>
      <c r="H265" s="11" t="s">
        <v>16</v>
      </c>
      <c r="I265" s="13">
        <v>27162</v>
      </c>
      <c r="J265" s="14">
        <f t="shared" ca="1" si="2"/>
        <v>51</v>
      </c>
      <c r="K265" s="14">
        <f t="shared" ca="1" si="3"/>
        <v>7</v>
      </c>
    </row>
    <row r="266" spans="1:11" ht="12.75" customHeight="1" x14ac:dyDescent="0.3">
      <c r="A266" s="9">
        <v>1055</v>
      </c>
      <c r="B266" s="10" t="s">
        <v>432</v>
      </c>
      <c r="C266" s="10" t="s">
        <v>433</v>
      </c>
      <c r="D266" s="11">
        <v>3608</v>
      </c>
      <c r="E266" s="11" t="s">
        <v>14</v>
      </c>
      <c r="F266" s="11" t="s">
        <v>29</v>
      </c>
      <c r="G266" s="12">
        <v>10136.040000000001</v>
      </c>
      <c r="H266" s="11" t="s">
        <v>16</v>
      </c>
      <c r="I266" s="13">
        <v>29573</v>
      </c>
      <c r="J266" s="14">
        <f t="shared" ca="1" si="2"/>
        <v>45</v>
      </c>
      <c r="K266" s="14">
        <f t="shared" ca="1" si="3"/>
        <v>6</v>
      </c>
    </row>
    <row r="267" spans="1:11" ht="12.75" customHeight="1" x14ac:dyDescent="0.3">
      <c r="A267" s="9">
        <v>1175</v>
      </c>
      <c r="B267" s="10" t="s">
        <v>432</v>
      </c>
      <c r="C267" s="10" t="s">
        <v>399</v>
      </c>
      <c r="D267" s="11">
        <v>3733</v>
      </c>
      <c r="E267" s="11" t="s">
        <v>50</v>
      </c>
      <c r="F267" s="11" t="s">
        <v>15</v>
      </c>
      <c r="G267" s="12">
        <v>12422.47</v>
      </c>
      <c r="H267" s="11" t="s">
        <v>16</v>
      </c>
      <c r="I267" s="13">
        <v>27152</v>
      </c>
      <c r="J267" s="14">
        <f t="shared" ca="1" si="2"/>
        <v>51</v>
      </c>
      <c r="K267" s="14">
        <f t="shared" ca="1" si="3"/>
        <v>7</v>
      </c>
    </row>
    <row r="268" spans="1:11" ht="12.75" customHeight="1" x14ac:dyDescent="0.3">
      <c r="A268" s="9">
        <v>1443</v>
      </c>
      <c r="B268" s="10" t="s">
        <v>434</v>
      </c>
      <c r="C268" s="10" t="s">
        <v>257</v>
      </c>
      <c r="D268" s="11">
        <v>3733</v>
      </c>
      <c r="E268" s="11" t="s">
        <v>14</v>
      </c>
      <c r="F268" s="11" t="s">
        <v>29</v>
      </c>
      <c r="G268" s="12">
        <v>9210.6</v>
      </c>
      <c r="H268" s="11" t="s">
        <v>16</v>
      </c>
      <c r="I268" s="13">
        <v>20540</v>
      </c>
      <c r="J268" s="14">
        <f t="shared" ca="1" si="2"/>
        <v>69</v>
      </c>
      <c r="K268" s="14">
        <f t="shared" ca="1" si="3"/>
        <v>10</v>
      </c>
    </row>
    <row r="269" spans="1:11" ht="12.75" customHeight="1" x14ac:dyDescent="0.3">
      <c r="A269" s="9">
        <v>1479</v>
      </c>
      <c r="B269" s="10" t="s">
        <v>435</v>
      </c>
      <c r="C269" s="10" t="s">
        <v>436</v>
      </c>
      <c r="D269" s="11">
        <v>3641</v>
      </c>
      <c r="E269" s="11" t="s">
        <v>43</v>
      </c>
      <c r="F269" s="11" t="s">
        <v>15</v>
      </c>
      <c r="G269" s="12">
        <v>9252.8799999999992</v>
      </c>
      <c r="H269" s="11" t="s">
        <v>16</v>
      </c>
      <c r="I269" s="13">
        <v>23769</v>
      </c>
      <c r="J269" s="14">
        <f t="shared" ca="1" si="2"/>
        <v>61</v>
      </c>
      <c r="K269" s="14">
        <f t="shared" ca="1" si="3"/>
        <v>9</v>
      </c>
    </row>
    <row r="270" spans="1:11" ht="12.75" customHeight="1" x14ac:dyDescent="0.3">
      <c r="A270" s="9">
        <v>1413</v>
      </c>
      <c r="B270" s="10" t="s">
        <v>437</v>
      </c>
      <c r="C270" s="10" t="s">
        <v>438</v>
      </c>
      <c r="D270" s="11">
        <v>3779</v>
      </c>
      <c r="E270" s="11" t="s">
        <v>19</v>
      </c>
      <c r="F270" s="11" t="s">
        <v>15</v>
      </c>
      <c r="G270" s="12">
        <v>20682.189999999999</v>
      </c>
      <c r="H270" s="11" t="s">
        <v>20</v>
      </c>
      <c r="I270" s="13">
        <v>20658</v>
      </c>
      <c r="J270" s="14">
        <f t="shared" ca="1" si="2"/>
        <v>69</v>
      </c>
      <c r="K270" s="14">
        <f t="shared" ca="1" si="3"/>
        <v>10</v>
      </c>
    </row>
    <row r="271" spans="1:11" ht="12.75" customHeight="1" x14ac:dyDescent="0.3">
      <c r="A271" s="9">
        <v>1279</v>
      </c>
      <c r="B271" s="10" t="s">
        <v>439</v>
      </c>
      <c r="C271" s="10" t="s">
        <v>127</v>
      </c>
      <c r="D271" s="11">
        <v>3019</v>
      </c>
      <c r="E271" s="11" t="s">
        <v>14</v>
      </c>
      <c r="F271" s="11" t="s">
        <v>29</v>
      </c>
      <c r="G271" s="12">
        <v>7964</v>
      </c>
      <c r="H271" s="11" t="s">
        <v>16</v>
      </c>
      <c r="I271" s="13">
        <v>23089</v>
      </c>
      <c r="J271" s="14">
        <f t="shared" ca="1" si="2"/>
        <v>62</v>
      </c>
      <c r="K271" s="14">
        <f t="shared" ca="1" si="3"/>
        <v>9</v>
      </c>
    </row>
    <row r="272" spans="1:11" ht="12.75" customHeight="1" x14ac:dyDescent="0.3">
      <c r="A272" s="9">
        <v>1507</v>
      </c>
      <c r="B272" s="10" t="s">
        <v>440</v>
      </c>
      <c r="C272" s="10" t="s">
        <v>441</v>
      </c>
      <c r="D272" s="11">
        <v>3864</v>
      </c>
      <c r="E272" s="11" t="s">
        <v>19</v>
      </c>
      <c r="F272" s="11" t="s">
        <v>29</v>
      </c>
      <c r="G272" s="12">
        <v>7587.38</v>
      </c>
      <c r="H272" s="11" t="s">
        <v>16</v>
      </c>
      <c r="I272" s="13">
        <v>23020</v>
      </c>
      <c r="J272" s="14">
        <f t="shared" ca="1" si="2"/>
        <v>63</v>
      </c>
      <c r="K272" s="14">
        <f t="shared" ca="1" si="3"/>
        <v>9</v>
      </c>
    </row>
    <row r="273" spans="1:11" ht="12.75" customHeight="1" x14ac:dyDescent="0.3">
      <c r="A273" s="9">
        <v>1189</v>
      </c>
      <c r="B273" s="10" t="s">
        <v>442</v>
      </c>
      <c r="C273" s="10" t="s">
        <v>94</v>
      </c>
      <c r="D273" s="11">
        <v>3703</v>
      </c>
      <c r="E273" s="11" t="s">
        <v>14</v>
      </c>
      <c r="F273" s="11" t="s">
        <v>15</v>
      </c>
      <c r="G273" s="12">
        <v>13803.31</v>
      </c>
      <c r="H273" s="11" t="s">
        <v>16</v>
      </c>
      <c r="I273" s="13">
        <v>26649</v>
      </c>
      <c r="J273" s="14">
        <f t="shared" ca="1" si="2"/>
        <v>53</v>
      </c>
      <c r="K273" s="14">
        <f t="shared" ca="1" si="3"/>
        <v>7</v>
      </c>
    </row>
    <row r="274" spans="1:11" ht="12.75" customHeight="1" x14ac:dyDescent="0.3">
      <c r="A274" s="9">
        <v>1415</v>
      </c>
      <c r="B274" s="10" t="s">
        <v>442</v>
      </c>
      <c r="C274" s="10" t="s">
        <v>443</v>
      </c>
      <c r="D274" s="11">
        <v>3982</v>
      </c>
      <c r="E274" s="11" t="s">
        <v>14</v>
      </c>
      <c r="F274" s="11" t="s">
        <v>29</v>
      </c>
      <c r="G274" s="12">
        <v>10477.629999999999</v>
      </c>
      <c r="H274" s="11" t="s">
        <v>16</v>
      </c>
      <c r="I274" s="13">
        <v>20896</v>
      </c>
      <c r="J274" s="14">
        <f t="shared" ca="1" si="2"/>
        <v>68</v>
      </c>
      <c r="K274" s="14">
        <f t="shared" ca="1" si="3"/>
        <v>10</v>
      </c>
    </row>
    <row r="275" spans="1:11" ht="12.75" customHeight="1" x14ac:dyDescent="0.3">
      <c r="A275" s="9">
        <v>1305</v>
      </c>
      <c r="B275" s="10" t="s">
        <v>444</v>
      </c>
      <c r="C275" s="10" t="s">
        <v>248</v>
      </c>
      <c r="D275" s="11">
        <v>3333</v>
      </c>
      <c r="E275" s="11" t="s">
        <v>19</v>
      </c>
      <c r="F275" s="11" t="s">
        <v>29</v>
      </c>
      <c r="G275" s="12">
        <v>18929.98</v>
      </c>
      <c r="H275" s="11" t="s">
        <v>20</v>
      </c>
      <c r="I275" s="13">
        <v>22280</v>
      </c>
      <c r="J275" s="14">
        <f t="shared" ca="1" si="2"/>
        <v>65</v>
      </c>
      <c r="K275" s="14">
        <f t="shared" ca="1" si="3"/>
        <v>10</v>
      </c>
    </row>
    <row r="276" spans="1:11" ht="12.75" customHeight="1" x14ac:dyDescent="0.3">
      <c r="A276" s="9">
        <v>1341</v>
      </c>
      <c r="B276" s="10" t="s">
        <v>445</v>
      </c>
      <c r="C276" s="10" t="s">
        <v>315</v>
      </c>
      <c r="D276" s="11">
        <v>3064</v>
      </c>
      <c r="E276" s="11" t="s">
        <v>14</v>
      </c>
      <c r="F276" s="11" t="s">
        <v>29</v>
      </c>
      <c r="G276" s="12">
        <v>13363.49</v>
      </c>
      <c r="H276" s="11" t="s">
        <v>16</v>
      </c>
      <c r="I276" s="13">
        <v>21843</v>
      </c>
      <c r="J276" s="14">
        <f t="shared" ca="1" si="2"/>
        <v>66</v>
      </c>
      <c r="K276" s="14">
        <f t="shared" ca="1" si="3"/>
        <v>10</v>
      </c>
    </row>
    <row r="277" spans="1:11" ht="12.75" customHeight="1" x14ac:dyDescent="0.3">
      <c r="A277" s="9">
        <v>1565</v>
      </c>
      <c r="B277" s="10" t="s">
        <v>446</v>
      </c>
      <c r="C277" s="10" t="s">
        <v>52</v>
      </c>
      <c r="D277" s="11">
        <v>3081</v>
      </c>
      <c r="E277" s="11" t="s">
        <v>14</v>
      </c>
      <c r="F277" s="11" t="s">
        <v>29</v>
      </c>
      <c r="G277" s="12">
        <v>10501.25</v>
      </c>
      <c r="H277" s="11" t="s">
        <v>16</v>
      </c>
      <c r="I277" s="13">
        <v>25022</v>
      </c>
      <c r="J277" s="14">
        <f t="shared" ca="1" si="2"/>
        <v>57</v>
      </c>
      <c r="K277" s="14">
        <f t="shared" ca="1" si="3"/>
        <v>8</v>
      </c>
    </row>
    <row r="278" spans="1:11" ht="12.75" customHeight="1" x14ac:dyDescent="0.3">
      <c r="A278" s="9">
        <v>1573</v>
      </c>
      <c r="B278" s="10" t="s">
        <v>447</v>
      </c>
      <c r="C278" s="10" t="s">
        <v>144</v>
      </c>
      <c r="D278" s="11">
        <v>3018</v>
      </c>
      <c r="E278" s="11" t="s">
        <v>14</v>
      </c>
      <c r="F278" s="11" t="s">
        <v>29</v>
      </c>
      <c r="G278" s="12">
        <v>10994.09</v>
      </c>
      <c r="H278" s="11" t="s">
        <v>16</v>
      </c>
      <c r="I278" s="13">
        <v>24594</v>
      </c>
      <c r="J278" s="14">
        <f t="shared" ca="1" si="2"/>
        <v>58</v>
      </c>
      <c r="K278" s="14">
        <f t="shared" ca="1" si="3"/>
        <v>8</v>
      </c>
    </row>
    <row r="279" spans="1:11" ht="12.75" customHeight="1" x14ac:dyDescent="0.3">
      <c r="A279" s="9">
        <v>1549</v>
      </c>
      <c r="B279" s="10" t="s">
        <v>448</v>
      </c>
      <c r="C279" s="10" t="s">
        <v>449</v>
      </c>
      <c r="D279" s="11">
        <v>3559</v>
      </c>
      <c r="E279" s="11" t="s">
        <v>14</v>
      </c>
      <c r="F279" s="11" t="s">
        <v>29</v>
      </c>
      <c r="G279" s="12">
        <v>19521.53</v>
      </c>
      <c r="H279" s="11" t="s">
        <v>16</v>
      </c>
      <c r="I279" s="13">
        <v>25635</v>
      </c>
      <c r="J279" s="14">
        <f t="shared" ca="1" si="2"/>
        <v>56</v>
      </c>
      <c r="K279" s="14">
        <f t="shared" ca="1" si="3"/>
        <v>8</v>
      </c>
    </row>
    <row r="280" spans="1:11" ht="12.75" customHeight="1" x14ac:dyDescent="0.3">
      <c r="A280" s="9">
        <v>1575</v>
      </c>
      <c r="B280" s="10" t="s">
        <v>450</v>
      </c>
      <c r="C280" s="10" t="s">
        <v>52</v>
      </c>
      <c r="D280" s="11">
        <v>3161</v>
      </c>
      <c r="E280" s="11" t="s">
        <v>43</v>
      </c>
      <c r="F280" s="11" t="s">
        <v>15</v>
      </c>
      <c r="G280" s="12">
        <v>15102.11</v>
      </c>
      <c r="H280" s="11" t="s">
        <v>16</v>
      </c>
      <c r="I280" s="13">
        <v>24827</v>
      </c>
      <c r="J280" s="14">
        <f t="shared" ca="1" si="2"/>
        <v>58</v>
      </c>
      <c r="K280" s="14">
        <f t="shared" ca="1" si="3"/>
        <v>8</v>
      </c>
    </row>
    <row r="281" spans="1:11" ht="12.75" customHeight="1" x14ac:dyDescent="0.3">
      <c r="A281" s="9">
        <v>1541</v>
      </c>
      <c r="B281" s="10" t="s">
        <v>451</v>
      </c>
      <c r="C281" s="10" t="s">
        <v>452</v>
      </c>
      <c r="D281" s="11">
        <v>3096</v>
      </c>
      <c r="E281" s="11" t="s">
        <v>14</v>
      </c>
      <c r="F281" s="11" t="s">
        <v>29</v>
      </c>
      <c r="G281" s="12">
        <v>9091.08</v>
      </c>
      <c r="H281" s="11" t="s">
        <v>16</v>
      </c>
      <c r="I281" s="13">
        <v>25988</v>
      </c>
      <c r="J281" s="14">
        <f t="shared" ca="1" si="2"/>
        <v>55</v>
      </c>
      <c r="K281" s="14">
        <f t="shared" ca="1" si="3"/>
        <v>8</v>
      </c>
    </row>
    <row r="282" spans="1:11" ht="12.75" customHeight="1" x14ac:dyDescent="0.3">
      <c r="A282" s="9">
        <v>1469</v>
      </c>
      <c r="B282" s="10" t="s">
        <v>453</v>
      </c>
      <c r="C282" s="10" t="s">
        <v>355</v>
      </c>
      <c r="D282" s="11">
        <v>3703</v>
      </c>
      <c r="E282" s="11" t="s">
        <v>23</v>
      </c>
      <c r="F282" s="11" t="s">
        <v>15</v>
      </c>
      <c r="G282" s="12">
        <v>10962.94</v>
      </c>
      <c r="H282" s="11" t="s">
        <v>20</v>
      </c>
      <c r="I282" s="13">
        <v>24044</v>
      </c>
      <c r="J282" s="14">
        <f t="shared" ca="1" si="2"/>
        <v>60</v>
      </c>
      <c r="K282" s="14">
        <f t="shared" ca="1" si="3"/>
        <v>9</v>
      </c>
    </row>
    <row r="283" spans="1:11" ht="12.75" customHeight="1" x14ac:dyDescent="0.3">
      <c r="A283" s="9">
        <v>1035</v>
      </c>
      <c r="B283" s="10" t="s">
        <v>454</v>
      </c>
      <c r="C283" s="10" t="s">
        <v>226</v>
      </c>
      <c r="D283" s="11">
        <v>3585</v>
      </c>
      <c r="E283" s="11" t="s">
        <v>19</v>
      </c>
      <c r="F283" s="11" t="s">
        <v>15</v>
      </c>
      <c r="G283" s="12">
        <v>15235.79</v>
      </c>
      <c r="H283" s="11" t="s">
        <v>20</v>
      </c>
      <c r="I283" s="13">
        <v>30289</v>
      </c>
      <c r="J283" s="14">
        <f t="shared" ca="1" si="2"/>
        <v>43</v>
      </c>
      <c r="K283" s="14">
        <f t="shared" ca="1" si="3"/>
        <v>5</v>
      </c>
    </row>
    <row r="284" spans="1:11" ht="12.75" customHeight="1" x14ac:dyDescent="0.3">
      <c r="A284" s="9">
        <v>1343</v>
      </c>
      <c r="B284" s="10" t="s">
        <v>455</v>
      </c>
      <c r="C284" s="10" t="s">
        <v>315</v>
      </c>
      <c r="D284" s="11">
        <v>3671</v>
      </c>
      <c r="E284" s="11" t="s">
        <v>14</v>
      </c>
      <c r="F284" s="11" t="s">
        <v>29</v>
      </c>
      <c r="G284" s="12">
        <v>6664.8</v>
      </c>
      <c r="H284" s="11" t="s">
        <v>16</v>
      </c>
      <c r="I284" s="13">
        <v>21876</v>
      </c>
      <c r="J284" s="14">
        <f t="shared" ca="1" si="2"/>
        <v>66</v>
      </c>
      <c r="K284" s="14">
        <f t="shared" ca="1" si="3"/>
        <v>10</v>
      </c>
    </row>
    <row r="285" spans="1:11" ht="12.75" customHeight="1" x14ac:dyDescent="0.3">
      <c r="A285" s="9">
        <v>1417</v>
      </c>
      <c r="B285" s="10" t="s">
        <v>456</v>
      </c>
      <c r="C285" s="10" t="s">
        <v>457</v>
      </c>
      <c r="D285" s="11">
        <v>3185</v>
      </c>
      <c r="E285" s="11" t="s">
        <v>14</v>
      </c>
      <c r="F285" s="11" t="s">
        <v>29</v>
      </c>
      <c r="G285" s="12">
        <v>18203.810000000001</v>
      </c>
      <c r="H285" s="11" t="s">
        <v>20</v>
      </c>
      <c r="I285" s="13">
        <v>20910</v>
      </c>
      <c r="J285" s="14">
        <f t="shared" ca="1" si="2"/>
        <v>68</v>
      </c>
      <c r="K285" s="14">
        <f t="shared" ca="1" si="3"/>
        <v>10</v>
      </c>
    </row>
    <row r="286" spans="1:11" ht="12.75" customHeight="1" x14ac:dyDescent="0.3">
      <c r="B286" s="15"/>
      <c r="C286" s="15"/>
      <c r="G286" s="16"/>
      <c r="J286" s="14"/>
    </row>
    <row r="287" spans="1:11" ht="12.75" customHeight="1" x14ac:dyDescent="0.3">
      <c r="B287" s="15"/>
      <c r="C287" s="15"/>
      <c r="G287" s="16"/>
      <c r="J287" s="14"/>
    </row>
    <row r="288" spans="1:11" ht="12.75" customHeight="1" x14ac:dyDescent="0.3">
      <c r="B288" s="15"/>
      <c r="C288" s="15"/>
      <c r="G288" s="16"/>
      <c r="J288" s="14"/>
    </row>
    <row r="289" spans="2:10" ht="12.75" customHeight="1" x14ac:dyDescent="0.3">
      <c r="B289" s="15"/>
      <c r="C289" s="15"/>
      <c r="G289" s="16"/>
      <c r="J289" s="14"/>
    </row>
    <row r="290" spans="2:10" ht="12.75" customHeight="1" x14ac:dyDescent="0.3">
      <c r="B290" s="15"/>
      <c r="C290" s="15"/>
      <c r="G290" s="16"/>
      <c r="J290" s="14"/>
    </row>
    <row r="291" spans="2:10" ht="12.75" customHeight="1" x14ac:dyDescent="0.3">
      <c r="B291" s="15"/>
      <c r="C291" s="15"/>
      <c r="G291" s="16"/>
      <c r="J291" s="14"/>
    </row>
    <row r="292" spans="2:10" ht="12.75" customHeight="1" x14ac:dyDescent="0.3">
      <c r="B292" s="15"/>
      <c r="C292" s="15"/>
      <c r="G292" s="16"/>
      <c r="J292" s="14"/>
    </row>
    <row r="293" spans="2:10" ht="12.75" customHeight="1" x14ac:dyDescent="0.3">
      <c r="B293" s="15"/>
      <c r="C293" s="15"/>
      <c r="G293" s="16"/>
      <c r="J293" s="14"/>
    </row>
    <row r="294" spans="2:10" ht="12.75" customHeight="1" x14ac:dyDescent="0.3">
      <c r="B294" s="15"/>
      <c r="C294" s="15"/>
      <c r="G294" s="16"/>
      <c r="J294" s="14"/>
    </row>
    <row r="295" spans="2:10" ht="12.75" customHeight="1" x14ac:dyDescent="0.3">
      <c r="B295" s="15"/>
      <c r="C295" s="15"/>
      <c r="G295" s="16"/>
      <c r="J295" s="14"/>
    </row>
    <row r="296" spans="2:10" ht="12.75" customHeight="1" x14ac:dyDescent="0.3">
      <c r="B296" s="15"/>
      <c r="C296" s="15"/>
      <c r="G296" s="16"/>
      <c r="J296" s="14"/>
    </row>
    <row r="297" spans="2:10" ht="12.75" customHeight="1" x14ac:dyDescent="0.3">
      <c r="B297" s="15"/>
      <c r="C297" s="15"/>
      <c r="G297" s="16"/>
      <c r="J297" s="14"/>
    </row>
    <row r="298" spans="2:10" ht="12.75" customHeight="1" x14ac:dyDescent="0.3">
      <c r="B298" s="15"/>
      <c r="C298" s="15"/>
      <c r="G298" s="16"/>
      <c r="J298" s="14"/>
    </row>
    <row r="299" spans="2:10" ht="12.75" customHeight="1" x14ac:dyDescent="0.3">
      <c r="B299" s="15"/>
      <c r="C299" s="15"/>
      <c r="G299" s="16"/>
      <c r="J299" s="14"/>
    </row>
    <row r="300" spans="2:10" ht="12.75" customHeight="1" x14ac:dyDescent="0.3">
      <c r="B300" s="15"/>
      <c r="C300" s="15"/>
      <c r="G300" s="16"/>
      <c r="J300" s="14"/>
    </row>
    <row r="301" spans="2:10" ht="12.75" customHeight="1" x14ac:dyDescent="0.3">
      <c r="B301" s="15"/>
      <c r="C301" s="15"/>
      <c r="G301" s="16"/>
      <c r="J301" s="14"/>
    </row>
    <row r="302" spans="2:10" ht="12.75" customHeight="1" x14ac:dyDescent="0.3">
      <c r="B302" s="15"/>
      <c r="C302" s="15"/>
      <c r="G302" s="16"/>
      <c r="J302" s="14"/>
    </row>
    <row r="303" spans="2:10" ht="12.75" customHeight="1" x14ac:dyDescent="0.3">
      <c r="B303" s="15"/>
      <c r="C303" s="15"/>
      <c r="G303" s="16"/>
      <c r="J303" s="14"/>
    </row>
    <row r="304" spans="2:10" ht="12.75" customHeight="1" x14ac:dyDescent="0.3">
      <c r="B304" s="15"/>
      <c r="C304" s="15"/>
      <c r="G304" s="16"/>
      <c r="J304" s="14"/>
    </row>
    <row r="305" spans="2:10" ht="12.75" customHeight="1" x14ac:dyDescent="0.3">
      <c r="B305" s="15"/>
      <c r="C305" s="15"/>
      <c r="G305" s="16"/>
      <c r="J305" s="14"/>
    </row>
    <row r="306" spans="2:10" ht="12.75" customHeight="1" x14ac:dyDescent="0.3">
      <c r="B306" s="15"/>
      <c r="C306" s="15"/>
      <c r="G306" s="16"/>
      <c r="J306" s="14"/>
    </row>
    <row r="307" spans="2:10" ht="12.75" customHeight="1" x14ac:dyDescent="0.3">
      <c r="B307" s="15"/>
      <c r="C307" s="15"/>
      <c r="G307" s="16"/>
      <c r="J307" s="14"/>
    </row>
    <row r="308" spans="2:10" ht="12.75" customHeight="1" x14ac:dyDescent="0.3">
      <c r="B308" s="15"/>
      <c r="C308" s="15"/>
      <c r="G308" s="16"/>
      <c r="J308" s="14"/>
    </row>
    <row r="309" spans="2:10" ht="12.75" customHeight="1" x14ac:dyDescent="0.3">
      <c r="B309" s="15"/>
      <c r="C309" s="15"/>
      <c r="G309" s="16"/>
      <c r="J309" s="14"/>
    </row>
    <row r="310" spans="2:10" ht="12.75" customHeight="1" x14ac:dyDescent="0.3">
      <c r="B310" s="15"/>
      <c r="C310" s="15"/>
      <c r="G310" s="16"/>
      <c r="J310" s="14"/>
    </row>
    <row r="311" spans="2:10" ht="12.75" customHeight="1" x14ac:dyDescent="0.3">
      <c r="B311" s="15"/>
      <c r="C311" s="15"/>
      <c r="G311" s="16"/>
      <c r="J311" s="14"/>
    </row>
    <row r="312" spans="2:10" ht="12.75" customHeight="1" x14ac:dyDescent="0.3">
      <c r="B312" s="15"/>
      <c r="C312" s="15"/>
      <c r="G312" s="16"/>
      <c r="J312" s="14"/>
    </row>
    <row r="313" spans="2:10" ht="12.75" customHeight="1" x14ac:dyDescent="0.3">
      <c r="B313" s="15"/>
      <c r="C313" s="15"/>
      <c r="G313" s="16"/>
      <c r="J313" s="14"/>
    </row>
    <row r="314" spans="2:10" ht="12.75" customHeight="1" x14ac:dyDescent="0.3">
      <c r="B314" s="15"/>
      <c r="C314" s="15"/>
      <c r="G314" s="16"/>
      <c r="J314" s="14"/>
    </row>
    <row r="315" spans="2:10" ht="12.75" customHeight="1" x14ac:dyDescent="0.3">
      <c r="B315" s="15"/>
      <c r="C315" s="15"/>
      <c r="G315" s="16"/>
      <c r="J315" s="14"/>
    </row>
    <row r="316" spans="2:10" ht="12.75" customHeight="1" x14ac:dyDescent="0.3">
      <c r="B316" s="15"/>
      <c r="C316" s="15"/>
      <c r="G316" s="16"/>
      <c r="J316" s="14"/>
    </row>
    <row r="317" spans="2:10" ht="12.75" customHeight="1" x14ac:dyDescent="0.3">
      <c r="B317" s="15"/>
      <c r="C317" s="15"/>
      <c r="G317" s="16"/>
      <c r="J317" s="14"/>
    </row>
    <row r="318" spans="2:10" ht="12.75" customHeight="1" x14ac:dyDescent="0.3">
      <c r="B318" s="15"/>
      <c r="C318" s="15"/>
      <c r="G318" s="16"/>
      <c r="J318" s="14"/>
    </row>
    <row r="319" spans="2:10" ht="12.75" customHeight="1" x14ac:dyDescent="0.3">
      <c r="B319" s="15"/>
      <c r="C319" s="15"/>
      <c r="G319" s="16"/>
      <c r="J319" s="14"/>
    </row>
    <row r="320" spans="2:10" ht="12.75" customHeight="1" x14ac:dyDescent="0.3">
      <c r="B320" s="15"/>
      <c r="C320" s="15"/>
      <c r="G320" s="16"/>
      <c r="J320" s="14"/>
    </row>
    <row r="321" spans="2:10" ht="12.75" customHeight="1" x14ac:dyDescent="0.3">
      <c r="B321" s="15"/>
      <c r="C321" s="15"/>
      <c r="G321" s="16"/>
      <c r="J321" s="14"/>
    </row>
    <row r="322" spans="2:10" ht="12.75" customHeight="1" x14ac:dyDescent="0.3">
      <c r="B322" s="15"/>
      <c r="C322" s="15"/>
      <c r="G322" s="16"/>
      <c r="J322" s="14"/>
    </row>
    <row r="323" spans="2:10" ht="12.75" customHeight="1" x14ac:dyDescent="0.3">
      <c r="B323" s="15"/>
      <c r="C323" s="15"/>
      <c r="G323" s="16"/>
      <c r="J323" s="14"/>
    </row>
    <row r="324" spans="2:10" ht="12.75" customHeight="1" x14ac:dyDescent="0.3">
      <c r="B324" s="15"/>
      <c r="C324" s="15"/>
      <c r="G324" s="16"/>
      <c r="J324" s="14"/>
    </row>
    <row r="325" spans="2:10" ht="12.75" customHeight="1" x14ac:dyDescent="0.3">
      <c r="B325" s="15"/>
      <c r="C325" s="15"/>
      <c r="G325" s="16"/>
      <c r="J325" s="14"/>
    </row>
    <row r="326" spans="2:10" ht="12.75" customHeight="1" x14ac:dyDescent="0.3">
      <c r="B326" s="15"/>
      <c r="C326" s="15"/>
      <c r="G326" s="16"/>
      <c r="J326" s="14"/>
    </row>
    <row r="327" spans="2:10" ht="12.75" customHeight="1" x14ac:dyDescent="0.3">
      <c r="B327" s="15"/>
      <c r="C327" s="15"/>
      <c r="G327" s="16"/>
      <c r="J327" s="14"/>
    </row>
    <row r="328" spans="2:10" ht="12.75" customHeight="1" x14ac:dyDescent="0.3">
      <c r="B328" s="15"/>
      <c r="C328" s="15"/>
      <c r="G328" s="16"/>
      <c r="J328" s="14"/>
    </row>
    <row r="329" spans="2:10" ht="12.75" customHeight="1" x14ac:dyDescent="0.3">
      <c r="B329" s="15"/>
      <c r="C329" s="15"/>
      <c r="G329" s="16"/>
      <c r="J329" s="14"/>
    </row>
    <row r="330" spans="2:10" ht="12.75" customHeight="1" x14ac:dyDescent="0.3">
      <c r="B330" s="15"/>
      <c r="C330" s="15"/>
      <c r="G330" s="16"/>
      <c r="J330" s="14"/>
    </row>
    <row r="331" spans="2:10" ht="12.75" customHeight="1" x14ac:dyDescent="0.3">
      <c r="B331" s="15"/>
      <c r="C331" s="15"/>
      <c r="G331" s="16"/>
      <c r="J331" s="14"/>
    </row>
    <row r="332" spans="2:10" ht="12.75" customHeight="1" x14ac:dyDescent="0.3">
      <c r="B332" s="15"/>
      <c r="C332" s="15"/>
      <c r="G332" s="16"/>
      <c r="J332" s="14"/>
    </row>
    <row r="333" spans="2:10" ht="12.75" customHeight="1" x14ac:dyDescent="0.3">
      <c r="B333" s="15"/>
      <c r="C333" s="15"/>
      <c r="G333" s="16"/>
      <c r="J333" s="14"/>
    </row>
    <row r="334" spans="2:10" ht="12.75" customHeight="1" x14ac:dyDescent="0.3">
      <c r="B334" s="15"/>
      <c r="C334" s="15"/>
      <c r="G334" s="16"/>
      <c r="J334" s="14"/>
    </row>
    <row r="335" spans="2:10" ht="12.75" customHeight="1" x14ac:dyDescent="0.3">
      <c r="B335" s="15"/>
      <c r="C335" s="15"/>
      <c r="G335" s="16"/>
      <c r="J335" s="14"/>
    </row>
    <row r="336" spans="2:10" ht="12.75" customHeight="1" x14ac:dyDescent="0.3">
      <c r="B336" s="15"/>
      <c r="C336" s="15"/>
      <c r="G336" s="16"/>
      <c r="J336" s="14"/>
    </row>
    <row r="337" spans="2:10" ht="12.75" customHeight="1" x14ac:dyDescent="0.3">
      <c r="B337" s="15"/>
      <c r="C337" s="15"/>
      <c r="G337" s="16"/>
      <c r="J337" s="14"/>
    </row>
    <row r="338" spans="2:10" ht="12.75" customHeight="1" x14ac:dyDescent="0.3">
      <c r="B338" s="15"/>
      <c r="C338" s="15"/>
      <c r="G338" s="16"/>
      <c r="J338" s="14"/>
    </row>
    <row r="339" spans="2:10" ht="12.75" customHeight="1" x14ac:dyDescent="0.3">
      <c r="B339" s="15"/>
      <c r="C339" s="15"/>
      <c r="G339" s="16"/>
      <c r="J339" s="14"/>
    </row>
    <row r="340" spans="2:10" ht="12.75" customHeight="1" x14ac:dyDescent="0.3">
      <c r="B340" s="15"/>
      <c r="C340" s="15"/>
      <c r="G340" s="16"/>
      <c r="J340" s="14"/>
    </row>
    <row r="341" spans="2:10" ht="12.75" customHeight="1" x14ac:dyDescent="0.3">
      <c r="B341" s="15"/>
      <c r="C341" s="15"/>
      <c r="G341" s="16"/>
      <c r="J341" s="14"/>
    </row>
    <row r="342" spans="2:10" ht="12.75" customHeight="1" x14ac:dyDescent="0.3">
      <c r="B342" s="15"/>
      <c r="C342" s="15"/>
      <c r="G342" s="16"/>
      <c r="J342" s="14"/>
    </row>
    <row r="343" spans="2:10" ht="12.75" customHeight="1" x14ac:dyDescent="0.3">
      <c r="B343" s="15"/>
      <c r="C343" s="15"/>
      <c r="G343" s="16"/>
      <c r="J343" s="14"/>
    </row>
    <row r="344" spans="2:10" ht="12.75" customHeight="1" x14ac:dyDescent="0.3">
      <c r="B344" s="15"/>
      <c r="C344" s="15"/>
      <c r="G344" s="16"/>
      <c r="J344" s="14"/>
    </row>
    <row r="345" spans="2:10" ht="12.75" customHeight="1" x14ac:dyDescent="0.3">
      <c r="B345" s="15"/>
      <c r="C345" s="15"/>
      <c r="G345" s="16"/>
      <c r="J345" s="14"/>
    </row>
    <row r="346" spans="2:10" ht="12.75" customHeight="1" x14ac:dyDescent="0.3">
      <c r="B346" s="15"/>
      <c r="C346" s="15"/>
      <c r="G346" s="16"/>
      <c r="J346" s="14"/>
    </row>
    <row r="347" spans="2:10" ht="12.75" customHeight="1" x14ac:dyDescent="0.3">
      <c r="B347" s="15"/>
      <c r="C347" s="15"/>
      <c r="G347" s="16"/>
      <c r="J347" s="14"/>
    </row>
    <row r="348" spans="2:10" ht="12.75" customHeight="1" x14ac:dyDescent="0.3">
      <c r="B348" s="15"/>
      <c r="C348" s="15"/>
      <c r="G348" s="16"/>
      <c r="J348" s="14"/>
    </row>
    <row r="349" spans="2:10" ht="12.75" customHeight="1" x14ac:dyDescent="0.3">
      <c r="B349" s="15"/>
      <c r="C349" s="15"/>
      <c r="G349" s="16"/>
      <c r="J349" s="14"/>
    </row>
    <row r="350" spans="2:10" ht="12.75" customHeight="1" x14ac:dyDescent="0.3">
      <c r="B350" s="15"/>
      <c r="C350" s="15"/>
      <c r="G350" s="16"/>
      <c r="J350" s="14"/>
    </row>
    <row r="351" spans="2:10" ht="12.75" customHeight="1" x14ac:dyDescent="0.3">
      <c r="B351" s="15"/>
      <c r="C351" s="15"/>
      <c r="G351" s="16"/>
      <c r="J351" s="14"/>
    </row>
    <row r="352" spans="2:10" ht="12.75" customHeight="1" x14ac:dyDescent="0.3">
      <c r="B352" s="15"/>
      <c r="C352" s="15"/>
      <c r="G352" s="16"/>
      <c r="J352" s="14"/>
    </row>
    <row r="353" spans="2:10" ht="12.75" customHeight="1" x14ac:dyDescent="0.3">
      <c r="B353" s="15"/>
      <c r="C353" s="15"/>
      <c r="G353" s="16"/>
      <c r="J353" s="14"/>
    </row>
    <row r="354" spans="2:10" ht="12.75" customHeight="1" x14ac:dyDescent="0.3">
      <c r="B354" s="15"/>
      <c r="C354" s="15"/>
      <c r="G354" s="16"/>
      <c r="J354" s="14"/>
    </row>
    <row r="355" spans="2:10" ht="12.75" customHeight="1" x14ac:dyDescent="0.3">
      <c r="B355" s="15"/>
      <c r="C355" s="15"/>
      <c r="G355" s="16"/>
      <c r="J355" s="14"/>
    </row>
    <row r="356" spans="2:10" ht="12.75" customHeight="1" x14ac:dyDescent="0.3">
      <c r="B356" s="15"/>
      <c r="C356" s="15"/>
      <c r="G356" s="16"/>
      <c r="J356" s="14"/>
    </row>
    <row r="357" spans="2:10" ht="12.75" customHeight="1" x14ac:dyDescent="0.3">
      <c r="B357" s="15"/>
      <c r="C357" s="15"/>
      <c r="G357" s="16"/>
      <c r="J357" s="14"/>
    </row>
    <row r="358" spans="2:10" ht="12.75" customHeight="1" x14ac:dyDescent="0.3">
      <c r="B358" s="15"/>
      <c r="C358" s="15"/>
      <c r="G358" s="16"/>
      <c r="J358" s="14"/>
    </row>
    <row r="359" spans="2:10" ht="12.75" customHeight="1" x14ac:dyDescent="0.3">
      <c r="B359" s="15"/>
      <c r="C359" s="15"/>
      <c r="G359" s="16"/>
      <c r="J359" s="14"/>
    </row>
    <row r="360" spans="2:10" ht="12.75" customHeight="1" x14ac:dyDescent="0.3">
      <c r="B360" s="15"/>
      <c r="C360" s="15"/>
      <c r="G360" s="16"/>
      <c r="J360" s="14"/>
    </row>
    <row r="361" spans="2:10" ht="12.75" customHeight="1" x14ac:dyDescent="0.3">
      <c r="B361" s="15"/>
      <c r="C361" s="15"/>
      <c r="G361" s="16"/>
      <c r="J361" s="14"/>
    </row>
    <row r="362" spans="2:10" ht="12.75" customHeight="1" x14ac:dyDescent="0.3">
      <c r="B362" s="15"/>
      <c r="C362" s="15"/>
      <c r="G362" s="16"/>
      <c r="J362" s="14"/>
    </row>
    <row r="363" spans="2:10" ht="12.75" customHeight="1" x14ac:dyDescent="0.3">
      <c r="B363" s="15"/>
      <c r="C363" s="15"/>
      <c r="G363" s="16"/>
      <c r="J363" s="14"/>
    </row>
    <row r="364" spans="2:10" ht="12.75" customHeight="1" x14ac:dyDescent="0.3">
      <c r="B364" s="15"/>
      <c r="C364" s="15"/>
      <c r="G364" s="16"/>
      <c r="J364" s="14"/>
    </row>
    <row r="365" spans="2:10" ht="12.75" customHeight="1" x14ac:dyDescent="0.3">
      <c r="B365" s="15"/>
      <c r="C365" s="15"/>
      <c r="G365" s="16"/>
      <c r="J365" s="14"/>
    </row>
    <row r="366" spans="2:10" ht="12.75" customHeight="1" x14ac:dyDescent="0.3">
      <c r="B366" s="15"/>
      <c r="C366" s="15"/>
      <c r="G366" s="16"/>
      <c r="J366" s="14"/>
    </row>
    <row r="367" spans="2:10" ht="12.75" customHeight="1" x14ac:dyDescent="0.3">
      <c r="B367" s="15"/>
      <c r="C367" s="15"/>
      <c r="G367" s="16"/>
      <c r="J367" s="14"/>
    </row>
    <row r="368" spans="2:10" ht="12.75" customHeight="1" x14ac:dyDescent="0.3">
      <c r="B368" s="15"/>
      <c r="C368" s="15"/>
      <c r="G368" s="16"/>
      <c r="J368" s="14"/>
    </row>
    <row r="369" spans="2:10" ht="12.75" customHeight="1" x14ac:dyDescent="0.3">
      <c r="B369" s="15"/>
      <c r="C369" s="15"/>
      <c r="G369" s="16"/>
      <c r="J369" s="14"/>
    </row>
    <row r="370" spans="2:10" ht="12.75" customHeight="1" x14ac:dyDescent="0.3">
      <c r="B370" s="15"/>
      <c r="C370" s="15"/>
      <c r="G370" s="16"/>
      <c r="J370" s="14"/>
    </row>
    <row r="371" spans="2:10" ht="12.75" customHeight="1" x14ac:dyDescent="0.3">
      <c r="B371" s="15"/>
      <c r="C371" s="15"/>
      <c r="G371" s="16"/>
      <c r="J371" s="14"/>
    </row>
    <row r="372" spans="2:10" ht="12.75" customHeight="1" x14ac:dyDescent="0.3">
      <c r="B372" s="15"/>
      <c r="C372" s="15"/>
      <c r="G372" s="16"/>
      <c r="J372" s="14"/>
    </row>
    <row r="373" spans="2:10" ht="12.75" customHeight="1" x14ac:dyDescent="0.3">
      <c r="B373" s="15"/>
      <c r="C373" s="15"/>
      <c r="G373" s="16"/>
      <c r="J373" s="14"/>
    </row>
    <row r="374" spans="2:10" ht="12.75" customHeight="1" x14ac:dyDescent="0.3">
      <c r="B374" s="15"/>
      <c r="C374" s="15"/>
      <c r="G374" s="16"/>
      <c r="J374" s="14"/>
    </row>
    <row r="375" spans="2:10" ht="12.75" customHeight="1" x14ac:dyDescent="0.3">
      <c r="B375" s="15"/>
      <c r="C375" s="15"/>
      <c r="G375" s="16"/>
      <c r="J375" s="14"/>
    </row>
    <row r="376" spans="2:10" ht="12.75" customHeight="1" x14ac:dyDescent="0.3">
      <c r="B376" s="15"/>
      <c r="C376" s="15"/>
      <c r="G376" s="16"/>
      <c r="J376" s="14"/>
    </row>
    <row r="377" spans="2:10" ht="12.75" customHeight="1" x14ac:dyDescent="0.3">
      <c r="B377" s="15"/>
      <c r="C377" s="15"/>
      <c r="G377" s="16"/>
      <c r="J377" s="14"/>
    </row>
    <row r="378" spans="2:10" ht="12.75" customHeight="1" x14ac:dyDescent="0.3">
      <c r="B378" s="15"/>
      <c r="C378" s="15"/>
      <c r="G378" s="16"/>
      <c r="J378" s="14"/>
    </row>
    <row r="379" spans="2:10" ht="12.75" customHeight="1" x14ac:dyDescent="0.3">
      <c r="B379" s="15"/>
      <c r="C379" s="15"/>
      <c r="G379" s="16"/>
      <c r="J379" s="14"/>
    </row>
    <row r="380" spans="2:10" ht="12.75" customHeight="1" x14ac:dyDescent="0.3">
      <c r="B380" s="15"/>
      <c r="C380" s="15"/>
      <c r="G380" s="16"/>
      <c r="J380" s="14"/>
    </row>
    <row r="381" spans="2:10" ht="12.75" customHeight="1" x14ac:dyDescent="0.3">
      <c r="B381" s="15"/>
      <c r="C381" s="15"/>
      <c r="G381" s="16"/>
      <c r="J381" s="14"/>
    </row>
    <row r="382" spans="2:10" ht="12.75" customHeight="1" x14ac:dyDescent="0.3">
      <c r="B382" s="15"/>
      <c r="C382" s="15"/>
      <c r="G382" s="16"/>
      <c r="J382" s="14"/>
    </row>
    <row r="383" spans="2:10" ht="12.75" customHeight="1" x14ac:dyDescent="0.3">
      <c r="B383" s="15"/>
      <c r="C383" s="15"/>
      <c r="G383" s="16"/>
      <c r="J383" s="14"/>
    </row>
    <row r="384" spans="2:10" ht="12.75" customHeight="1" x14ac:dyDescent="0.3">
      <c r="B384" s="15"/>
      <c r="C384" s="15"/>
      <c r="G384" s="16"/>
      <c r="J384" s="14"/>
    </row>
    <row r="385" spans="2:10" ht="12.75" customHeight="1" x14ac:dyDescent="0.3">
      <c r="B385" s="15"/>
      <c r="C385" s="15"/>
      <c r="G385" s="16"/>
      <c r="J385" s="14"/>
    </row>
    <row r="386" spans="2:10" ht="12.75" customHeight="1" x14ac:dyDescent="0.3">
      <c r="B386" s="15"/>
      <c r="C386" s="15"/>
      <c r="G386" s="16"/>
      <c r="J386" s="14"/>
    </row>
    <row r="387" spans="2:10" ht="12.75" customHeight="1" x14ac:dyDescent="0.3">
      <c r="B387" s="15"/>
      <c r="C387" s="15"/>
      <c r="G387" s="16"/>
      <c r="J387" s="14"/>
    </row>
    <row r="388" spans="2:10" ht="12.75" customHeight="1" x14ac:dyDescent="0.3">
      <c r="B388" s="15"/>
      <c r="C388" s="15"/>
      <c r="G388" s="16"/>
      <c r="J388" s="14"/>
    </row>
    <row r="389" spans="2:10" ht="12.75" customHeight="1" x14ac:dyDescent="0.3">
      <c r="B389" s="15"/>
      <c r="C389" s="15"/>
      <c r="G389" s="16"/>
      <c r="J389" s="14"/>
    </row>
    <row r="390" spans="2:10" ht="12.75" customHeight="1" x14ac:dyDescent="0.3">
      <c r="B390" s="15"/>
      <c r="C390" s="15"/>
      <c r="G390" s="16"/>
      <c r="J390" s="14"/>
    </row>
    <row r="391" spans="2:10" ht="12.75" customHeight="1" x14ac:dyDescent="0.3">
      <c r="B391" s="15"/>
      <c r="C391" s="15"/>
      <c r="G391" s="16"/>
      <c r="J391" s="14"/>
    </row>
    <row r="392" spans="2:10" ht="12.75" customHeight="1" x14ac:dyDescent="0.3">
      <c r="B392" s="15"/>
      <c r="C392" s="15"/>
      <c r="G392" s="16"/>
      <c r="J392" s="14"/>
    </row>
    <row r="393" spans="2:10" ht="12.75" customHeight="1" x14ac:dyDescent="0.3">
      <c r="B393" s="15"/>
      <c r="C393" s="15"/>
      <c r="G393" s="16"/>
      <c r="J393" s="14"/>
    </row>
    <row r="394" spans="2:10" ht="12.75" customHeight="1" x14ac:dyDescent="0.3">
      <c r="B394" s="15"/>
      <c r="C394" s="15"/>
      <c r="G394" s="16"/>
      <c r="J394" s="14"/>
    </row>
    <row r="395" spans="2:10" ht="12.75" customHeight="1" x14ac:dyDescent="0.3">
      <c r="B395" s="15"/>
      <c r="C395" s="15"/>
      <c r="G395" s="16"/>
      <c r="J395" s="14"/>
    </row>
    <row r="396" spans="2:10" ht="12.75" customHeight="1" x14ac:dyDescent="0.3">
      <c r="B396" s="15"/>
      <c r="C396" s="15"/>
      <c r="G396" s="16"/>
      <c r="J396" s="14"/>
    </row>
    <row r="397" spans="2:10" ht="12.75" customHeight="1" x14ac:dyDescent="0.3">
      <c r="B397" s="15"/>
      <c r="C397" s="15"/>
      <c r="G397" s="16"/>
      <c r="J397" s="14"/>
    </row>
    <row r="398" spans="2:10" ht="12.75" customHeight="1" x14ac:dyDescent="0.3">
      <c r="B398" s="15"/>
      <c r="C398" s="15"/>
      <c r="G398" s="16"/>
      <c r="J398" s="14"/>
    </row>
    <row r="399" spans="2:10" ht="12.75" customHeight="1" x14ac:dyDescent="0.3">
      <c r="B399" s="15"/>
      <c r="C399" s="15"/>
      <c r="G399" s="16"/>
      <c r="J399" s="14"/>
    </row>
    <row r="400" spans="2:10" ht="12.75" customHeight="1" x14ac:dyDescent="0.3">
      <c r="B400" s="15"/>
      <c r="C400" s="15"/>
      <c r="G400" s="16"/>
      <c r="J400" s="14"/>
    </row>
    <row r="401" spans="2:10" ht="12.75" customHeight="1" x14ac:dyDescent="0.3">
      <c r="B401" s="15"/>
      <c r="C401" s="15"/>
      <c r="G401" s="16"/>
      <c r="J401" s="14"/>
    </row>
    <row r="402" spans="2:10" ht="12.75" customHeight="1" x14ac:dyDescent="0.3">
      <c r="B402" s="15"/>
      <c r="C402" s="15"/>
      <c r="G402" s="16"/>
      <c r="J402" s="14"/>
    </row>
    <row r="403" spans="2:10" ht="12.75" customHeight="1" x14ac:dyDescent="0.3">
      <c r="B403" s="15"/>
      <c r="C403" s="15"/>
      <c r="G403" s="16"/>
      <c r="J403" s="14"/>
    </row>
    <row r="404" spans="2:10" ht="12.75" customHeight="1" x14ac:dyDescent="0.3">
      <c r="B404" s="15"/>
      <c r="C404" s="15"/>
      <c r="G404" s="16"/>
      <c r="J404" s="14"/>
    </row>
    <row r="405" spans="2:10" ht="12.75" customHeight="1" x14ac:dyDescent="0.3">
      <c r="B405" s="15"/>
      <c r="C405" s="15"/>
      <c r="G405" s="16"/>
      <c r="J405" s="14"/>
    </row>
    <row r="406" spans="2:10" ht="12.75" customHeight="1" x14ac:dyDescent="0.3">
      <c r="B406" s="15"/>
      <c r="C406" s="15"/>
      <c r="G406" s="16"/>
      <c r="J406" s="14"/>
    </row>
    <row r="407" spans="2:10" ht="12.75" customHeight="1" x14ac:dyDescent="0.3">
      <c r="B407" s="15"/>
      <c r="C407" s="15"/>
      <c r="G407" s="16"/>
      <c r="J407" s="14"/>
    </row>
    <row r="408" spans="2:10" ht="12.75" customHeight="1" x14ac:dyDescent="0.3">
      <c r="B408" s="15"/>
      <c r="C408" s="15"/>
      <c r="G408" s="16"/>
      <c r="J408" s="14"/>
    </row>
    <row r="409" spans="2:10" ht="12.75" customHeight="1" x14ac:dyDescent="0.3">
      <c r="B409" s="15"/>
      <c r="C409" s="15"/>
      <c r="G409" s="16"/>
      <c r="J409" s="14"/>
    </row>
    <row r="410" spans="2:10" ht="12.75" customHeight="1" x14ac:dyDescent="0.3">
      <c r="B410" s="15"/>
      <c r="C410" s="15"/>
      <c r="G410" s="16"/>
      <c r="J410" s="14"/>
    </row>
    <row r="411" spans="2:10" ht="12.75" customHeight="1" x14ac:dyDescent="0.3">
      <c r="B411" s="15"/>
      <c r="C411" s="15"/>
      <c r="G411" s="16"/>
      <c r="J411" s="14"/>
    </row>
    <row r="412" spans="2:10" ht="12.75" customHeight="1" x14ac:dyDescent="0.3">
      <c r="B412" s="15"/>
      <c r="C412" s="15"/>
      <c r="G412" s="16"/>
      <c r="J412" s="14"/>
    </row>
    <row r="413" spans="2:10" ht="12.75" customHeight="1" x14ac:dyDescent="0.3">
      <c r="B413" s="15"/>
      <c r="C413" s="15"/>
      <c r="G413" s="16"/>
      <c r="J413" s="14"/>
    </row>
    <row r="414" spans="2:10" ht="12.75" customHeight="1" x14ac:dyDescent="0.3">
      <c r="B414" s="15"/>
      <c r="C414" s="15"/>
      <c r="G414" s="16"/>
      <c r="J414" s="14"/>
    </row>
    <row r="415" spans="2:10" ht="12.75" customHeight="1" x14ac:dyDescent="0.3">
      <c r="B415" s="15"/>
      <c r="C415" s="15"/>
      <c r="G415" s="16"/>
      <c r="J415" s="14"/>
    </row>
    <row r="416" spans="2:10" ht="12.75" customHeight="1" x14ac:dyDescent="0.3">
      <c r="B416" s="15"/>
      <c r="C416" s="15"/>
      <c r="G416" s="16"/>
      <c r="J416" s="14"/>
    </row>
    <row r="417" spans="2:10" ht="12.75" customHeight="1" x14ac:dyDescent="0.3">
      <c r="B417" s="15"/>
      <c r="C417" s="15"/>
      <c r="G417" s="16"/>
      <c r="J417" s="14"/>
    </row>
    <row r="418" spans="2:10" ht="12.75" customHeight="1" x14ac:dyDescent="0.3">
      <c r="B418" s="15"/>
      <c r="C418" s="15"/>
      <c r="G418" s="16"/>
      <c r="J418" s="14"/>
    </row>
    <row r="419" spans="2:10" ht="12.75" customHeight="1" x14ac:dyDescent="0.3">
      <c r="B419" s="15"/>
      <c r="C419" s="15"/>
      <c r="G419" s="16"/>
      <c r="J419" s="14"/>
    </row>
    <row r="420" spans="2:10" ht="12.75" customHeight="1" x14ac:dyDescent="0.3">
      <c r="B420" s="15"/>
      <c r="C420" s="15"/>
      <c r="G420" s="16"/>
      <c r="J420" s="14"/>
    </row>
    <row r="421" spans="2:10" ht="12.75" customHeight="1" x14ac:dyDescent="0.3">
      <c r="B421" s="15"/>
      <c r="C421" s="15"/>
      <c r="G421" s="16"/>
      <c r="J421" s="14"/>
    </row>
    <row r="422" spans="2:10" ht="12.75" customHeight="1" x14ac:dyDescent="0.3">
      <c r="B422" s="15"/>
      <c r="C422" s="15"/>
      <c r="G422" s="16"/>
      <c r="J422" s="14"/>
    </row>
    <row r="423" spans="2:10" ht="12.75" customHeight="1" x14ac:dyDescent="0.3">
      <c r="B423" s="15"/>
      <c r="C423" s="15"/>
      <c r="G423" s="16"/>
      <c r="J423" s="14"/>
    </row>
    <row r="424" spans="2:10" ht="12.75" customHeight="1" x14ac:dyDescent="0.3">
      <c r="B424" s="15"/>
      <c r="C424" s="15"/>
      <c r="G424" s="16"/>
      <c r="J424" s="14"/>
    </row>
    <row r="425" spans="2:10" ht="12.75" customHeight="1" x14ac:dyDescent="0.3">
      <c r="B425" s="15"/>
      <c r="C425" s="15"/>
      <c r="G425" s="16"/>
      <c r="J425" s="14"/>
    </row>
    <row r="426" spans="2:10" ht="12.75" customHeight="1" x14ac:dyDescent="0.3">
      <c r="B426" s="15"/>
      <c r="C426" s="15"/>
      <c r="G426" s="16"/>
      <c r="J426" s="14"/>
    </row>
    <row r="427" spans="2:10" ht="12.75" customHeight="1" x14ac:dyDescent="0.3">
      <c r="B427" s="15"/>
      <c r="C427" s="15"/>
      <c r="G427" s="16"/>
      <c r="J427" s="14"/>
    </row>
    <row r="428" spans="2:10" ht="12.75" customHeight="1" x14ac:dyDescent="0.3">
      <c r="B428" s="15"/>
      <c r="C428" s="15"/>
      <c r="G428" s="16"/>
      <c r="J428" s="14"/>
    </row>
    <row r="429" spans="2:10" ht="12.75" customHeight="1" x14ac:dyDescent="0.3">
      <c r="B429" s="15"/>
      <c r="C429" s="15"/>
      <c r="G429" s="16"/>
      <c r="J429" s="14"/>
    </row>
    <row r="430" spans="2:10" ht="12.75" customHeight="1" x14ac:dyDescent="0.3">
      <c r="B430" s="15"/>
      <c r="C430" s="15"/>
      <c r="G430" s="16"/>
      <c r="J430" s="14"/>
    </row>
    <row r="431" spans="2:10" ht="12.75" customHeight="1" x14ac:dyDescent="0.3">
      <c r="B431" s="15"/>
      <c r="C431" s="15"/>
      <c r="G431" s="16"/>
      <c r="J431" s="14"/>
    </row>
    <row r="432" spans="2:10" ht="12.75" customHeight="1" x14ac:dyDescent="0.3">
      <c r="B432" s="15"/>
      <c r="C432" s="15"/>
      <c r="G432" s="16"/>
      <c r="J432" s="14"/>
    </row>
    <row r="433" spans="2:10" ht="12.75" customHeight="1" x14ac:dyDescent="0.3">
      <c r="B433" s="15"/>
      <c r="C433" s="15"/>
      <c r="G433" s="16"/>
      <c r="J433" s="14"/>
    </row>
    <row r="434" spans="2:10" ht="12.75" customHeight="1" x14ac:dyDescent="0.3">
      <c r="B434" s="15"/>
      <c r="C434" s="15"/>
      <c r="G434" s="16"/>
      <c r="J434" s="14"/>
    </row>
    <row r="435" spans="2:10" ht="12.75" customHeight="1" x14ac:dyDescent="0.3">
      <c r="B435" s="15"/>
      <c r="C435" s="15"/>
      <c r="G435" s="16"/>
      <c r="J435" s="14"/>
    </row>
    <row r="436" spans="2:10" ht="12.75" customHeight="1" x14ac:dyDescent="0.3">
      <c r="B436" s="15"/>
      <c r="C436" s="15"/>
      <c r="G436" s="16"/>
      <c r="J436" s="14"/>
    </row>
    <row r="437" spans="2:10" ht="12.75" customHeight="1" x14ac:dyDescent="0.3">
      <c r="B437" s="15"/>
      <c r="C437" s="15"/>
      <c r="G437" s="16"/>
      <c r="J437" s="14"/>
    </row>
    <row r="438" spans="2:10" ht="12.75" customHeight="1" x14ac:dyDescent="0.3">
      <c r="B438" s="15"/>
      <c r="C438" s="15"/>
      <c r="G438" s="16"/>
      <c r="J438" s="14"/>
    </row>
    <row r="439" spans="2:10" ht="12.75" customHeight="1" x14ac:dyDescent="0.3">
      <c r="B439" s="15"/>
      <c r="C439" s="15"/>
      <c r="G439" s="16"/>
      <c r="J439" s="14"/>
    </row>
    <row r="440" spans="2:10" ht="12.75" customHeight="1" x14ac:dyDescent="0.3">
      <c r="B440" s="15"/>
      <c r="C440" s="15"/>
      <c r="G440" s="16"/>
      <c r="J440" s="14"/>
    </row>
    <row r="441" spans="2:10" ht="12.75" customHeight="1" x14ac:dyDescent="0.3">
      <c r="B441" s="15"/>
      <c r="C441" s="15"/>
      <c r="G441" s="16"/>
      <c r="J441" s="14"/>
    </row>
    <row r="442" spans="2:10" ht="12.75" customHeight="1" x14ac:dyDescent="0.3">
      <c r="B442" s="15"/>
      <c r="C442" s="15"/>
      <c r="G442" s="16"/>
      <c r="J442" s="14"/>
    </row>
    <row r="443" spans="2:10" ht="12.75" customHeight="1" x14ac:dyDescent="0.3">
      <c r="B443" s="15"/>
      <c r="C443" s="15"/>
      <c r="G443" s="16"/>
      <c r="J443" s="14"/>
    </row>
    <row r="444" spans="2:10" ht="12.75" customHeight="1" x14ac:dyDescent="0.3">
      <c r="B444" s="15"/>
      <c r="C444" s="15"/>
      <c r="G444" s="16"/>
      <c r="J444" s="14"/>
    </row>
    <row r="445" spans="2:10" ht="12.75" customHeight="1" x14ac:dyDescent="0.3">
      <c r="B445" s="15"/>
      <c r="C445" s="15"/>
      <c r="G445" s="16"/>
      <c r="J445" s="14"/>
    </row>
    <row r="446" spans="2:10" ht="12.75" customHeight="1" x14ac:dyDescent="0.3">
      <c r="B446" s="15"/>
      <c r="C446" s="15"/>
      <c r="G446" s="16"/>
      <c r="J446" s="14"/>
    </row>
    <row r="447" spans="2:10" ht="12.75" customHeight="1" x14ac:dyDescent="0.3">
      <c r="B447" s="15"/>
      <c r="C447" s="15"/>
      <c r="G447" s="16"/>
      <c r="J447" s="14"/>
    </row>
    <row r="448" spans="2:10" ht="12.75" customHeight="1" x14ac:dyDescent="0.3">
      <c r="B448" s="15"/>
      <c r="C448" s="15"/>
      <c r="G448" s="16"/>
      <c r="J448" s="14"/>
    </row>
    <row r="449" spans="2:10" ht="12.75" customHeight="1" x14ac:dyDescent="0.3">
      <c r="B449" s="15"/>
      <c r="C449" s="15"/>
      <c r="G449" s="16"/>
      <c r="J449" s="14"/>
    </row>
    <row r="450" spans="2:10" ht="12.75" customHeight="1" x14ac:dyDescent="0.3">
      <c r="B450" s="15"/>
      <c r="C450" s="15"/>
      <c r="G450" s="16"/>
      <c r="J450" s="14"/>
    </row>
    <row r="451" spans="2:10" ht="12.75" customHeight="1" x14ac:dyDescent="0.3">
      <c r="B451" s="15"/>
      <c r="C451" s="15"/>
      <c r="G451" s="16"/>
      <c r="J451" s="14"/>
    </row>
    <row r="452" spans="2:10" ht="12.75" customHeight="1" x14ac:dyDescent="0.3">
      <c r="B452" s="15"/>
      <c r="C452" s="15"/>
      <c r="G452" s="16"/>
      <c r="J452" s="14"/>
    </row>
    <row r="453" spans="2:10" ht="12.75" customHeight="1" x14ac:dyDescent="0.3">
      <c r="B453" s="15"/>
      <c r="C453" s="15"/>
      <c r="G453" s="16"/>
      <c r="J453" s="14"/>
    </row>
    <row r="454" spans="2:10" ht="12.75" customHeight="1" x14ac:dyDescent="0.3">
      <c r="B454" s="15"/>
      <c r="C454" s="15"/>
      <c r="G454" s="16"/>
      <c r="J454" s="14"/>
    </row>
    <row r="455" spans="2:10" ht="12.75" customHeight="1" x14ac:dyDescent="0.3">
      <c r="B455" s="15"/>
      <c r="C455" s="15"/>
      <c r="G455" s="16"/>
      <c r="J455" s="14"/>
    </row>
    <row r="456" spans="2:10" ht="12.75" customHeight="1" x14ac:dyDescent="0.3">
      <c r="B456" s="15"/>
      <c r="C456" s="15"/>
      <c r="G456" s="16"/>
      <c r="J456" s="14"/>
    </row>
    <row r="457" spans="2:10" ht="12.75" customHeight="1" x14ac:dyDescent="0.3">
      <c r="B457" s="15"/>
      <c r="C457" s="15"/>
      <c r="G457" s="16"/>
      <c r="J457" s="14"/>
    </row>
    <row r="458" spans="2:10" ht="12.75" customHeight="1" x14ac:dyDescent="0.3">
      <c r="B458" s="15"/>
      <c r="C458" s="15"/>
      <c r="G458" s="16"/>
      <c r="J458" s="14"/>
    </row>
    <row r="459" spans="2:10" ht="12.75" customHeight="1" x14ac:dyDescent="0.3">
      <c r="B459" s="15"/>
      <c r="C459" s="15"/>
      <c r="G459" s="16"/>
      <c r="J459" s="14"/>
    </row>
    <row r="460" spans="2:10" ht="12.75" customHeight="1" x14ac:dyDescent="0.3">
      <c r="B460" s="15"/>
      <c r="C460" s="15"/>
      <c r="G460" s="16"/>
      <c r="J460" s="14"/>
    </row>
    <row r="461" spans="2:10" ht="12.75" customHeight="1" x14ac:dyDescent="0.3">
      <c r="B461" s="15"/>
      <c r="C461" s="15"/>
      <c r="G461" s="16"/>
      <c r="J461" s="14"/>
    </row>
    <row r="462" spans="2:10" ht="12.75" customHeight="1" x14ac:dyDescent="0.3">
      <c r="B462" s="15"/>
      <c r="C462" s="15"/>
      <c r="G462" s="16"/>
      <c r="J462" s="14"/>
    </row>
    <row r="463" spans="2:10" ht="12.75" customHeight="1" x14ac:dyDescent="0.3">
      <c r="B463" s="15"/>
      <c r="C463" s="15"/>
      <c r="G463" s="16"/>
      <c r="J463" s="14"/>
    </row>
    <row r="464" spans="2:10" ht="12.75" customHeight="1" x14ac:dyDescent="0.3">
      <c r="B464" s="15"/>
      <c r="C464" s="15"/>
      <c r="G464" s="16"/>
      <c r="J464" s="14"/>
    </row>
    <row r="465" spans="2:10" ht="12.75" customHeight="1" x14ac:dyDescent="0.3">
      <c r="B465" s="15"/>
      <c r="C465" s="15"/>
      <c r="G465" s="16"/>
      <c r="J465" s="14"/>
    </row>
    <row r="466" spans="2:10" ht="12.75" customHeight="1" x14ac:dyDescent="0.3">
      <c r="B466" s="15"/>
      <c r="C466" s="15"/>
      <c r="G466" s="16"/>
      <c r="J466" s="14"/>
    </row>
    <row r="467" spans="2:10" ht="12.75" customHeight="1" x14ac:dyDescent="0.3">
      <c r="B467" s="15"/>
      <c r="C467" s="15"/>
      <c r="G467" s="16"/>
      <c r="J467" s="14"/>
    </row>
    <row r="468" spans="2:10" ht="12.75" customHeight="1" x14ac:dyDescent="0.3">
      <c r="B468" s="15"/>
      <c r="C468" s="15"/>
      <c r="G468" s="16"/>
      <c r="J468" s="14"/>
    </row>
    <row r="469" spans="2:10" ht="12.75" customHeight="1" x14ac:dyDescent="0.3">
      <c r="B469" s="15"/>
      <c r="C469" s="15"/>
      <c r="G469" s="16"/>
      <c r="J469" s="14"/>
    </row>
    <row r="470" spans="2:10" ht="12.75" customHeight="1" x14ac:dyDescent="0.3">
      <c r="B470" s="15"/>
      <c r="C470" s="15"/>
      <c r="G470" s="16"/>
      <c r="J470" s="14"/>
    </row>
    <row r="471" spans="2:10" ht="12.75" customHeight="1" x14ac:dyDescent="0.3">
      <c r="B471" s="15"/>
      <c r="C471" s="15"/>
      <c r="G471" s="16"/>
      <c r="J471" s="14"/>
    </row>
    <row r="472" spans="2:10" ht="12.75" customHeight="1" x14ac:dyDescent="0.3">
      <c r="B472" s="15"/>
      <c r="C472" s="15"/>
      <c r="G472" s="16"/>
      <c r="J472" s="14"/>
    </row>
    <row r="473" spans="2:10" ht="12.75" customHeight="1" x14ac:dyDescent="0.3">
      <c r="B473" s="15"/>
      <c r="C473" s="15"/>
      <c r="G473" s="16"/>
      <c r="J473" s="14"/>
    </row>
    <row r="474" spans="2:10" ht="12.75" customHeight="1" x14ac:dyDescent="0.3">
      <c r="B474" s="15"/>
      <c r="C474" s="15"/>
      <c r="G474" s="16"/>
      <c r="J474" s="14"/>
    </row>
    <row r="475" spans="2:10" ht="12.75" customHeight="1" x14ac:dyDescent="0.3">
      <c r="B475" s="15"/>
      <c r="C475" s="15"/>
      <c r="G475" s="16"/>
      <c r="J475" s="14"/>
    </row>
    <row r="476" spans="2:10" ht="12.75" customHeight="1" x14ac:dyDescent="0.3">
      <c r="B476" s="15"/>
      <c r="C476" s="15"/>
      <c r="G476" s="16"/>
      <c r="J476" s="14"/>
    </row>
    <row r="477" spans="2:10" ht="12.75" customHeight="1" x14ac:dyDescent="0.3">
      <c r="B477" s="15"/>
      <c r="C477" s="15"/>
      <c r="G477" s="16"/>
      <c r="J477" s="14"/>
    </row>
    <row r="478" spans="2:10" ht="12.75" customHeight="1" x14ac:dyDescent="0.3">
      <c r="B478" s="15"/>
      <c r="C478" s="15"/>
      <c r="G478" s="16"/>
      <c r="J478" s="14"/>
    </row>
    <row r="479" spans="2:10" ht="12.75" customHeight="1" x14ac:dyDescent="0.3">
      <c r="B479" s="15"/>
      <c r="C479" s="15"/>
      <c r="G479" s="16"/>
      <c r="J479" s="14"/>
    </row>
    <row r="480" spans="2:10" ht="12.75" customHeight="1" x14ac:dyDescent="0.3">
      <c r="B480" s="15"/>
      <c r="C480" s="15"/>
      <c r="G480" s="16"/>
      <c r="J480" s="14"/>
    </row>
    <row r="481" spans="2:10" ht="12.75" customHeight="1" x14ac:dyDescent="0.3">
      <c r="B481" s="15"/>
      <c r="C481" s="15"/>
      <c r="G481" s="16"/>
      <c r="J481" s="14"/>
    </row>
    <row r="482" spans="2:10" ht="12.75" customHeight="1" x14ac:dyDescent="0.3">
      <c r="B482" s="15"/>
      <c r="C482" s="15"/>
      <c r="G482" s="16"/>
      <c r="J482" s="14"/>
    </row>
    <row r="483" spans="2:10" ht="12.75" customHeight="1" x14ac:dyDescent="0.3">
      <c r="B483" s="15"/>
      <c r="C483" s="15"/>
      <c r="G483" s="16"/>
      <c r="J483" s="14"/>
    </row>
    <row r="484" spans="2:10" ht="12.75" customHeight="1" x14ac:dyDescent="0.3">
      <c r="B484" s="15"/>
      <c r="C484" s="15"/>
      <c r="G484" s="16"/>
      <c r="J484" s="14"/>
    </row>
    <row r="485" spans="2:10" ht="12.75" customHeight="1" x14ac:dyDescent="0.3">
      <c r="B485" s="15"/>
      <c r="C485" s="15"/>
      <c r="G485" s="16"/>
      <c r="J485" s="14"/>
    </row>
    <row r="486" spans="2:10" ht="12.75" customHeight="1" x14ac:dyDescent="0.3">
      <c r="B486" s="15"/>
      <c r="C486" s="15"/>
      <c r="G486" s="16"/>
      <c r="J486" s="14"/>
    </row>
    <row r="487" spans="2:10" ht="12.75" customHeight="1" x14ac:dyDescent="0.3">
      <c r="B487" s="15"/>
      <c r="C487" s="15"/>
      <c r="G487" s="16"/>
      <c r="J487" s="14"/>
    </row>
    <row r="488" spans="2:10" ht="12.75" customHeight="1" x14ac:dyDescent="0.3">
      <c r="B488" s="15"/>
      <c r="C488" s="15"/>
      <c r="G488" s="16"/>
      <c r="J488" s="14"/>
    </row>
    <row r="489" spans="2:10" ht="12.75" customHeight="1" x14ac:dyDescent="0.3">
      <c r="B489" s="15"/>
      <c r="C489" s="15"/>
      <c r="G489" s="16"/>
      <c r="J489" s="14"/>
    </row>
    <row r="490" spans="2:10" ht="12.75" customHeight="1" x14ac:dyDescent="0.3">
      <c r="B490" s="15"/>
      <c r="C490" s="15"/>
      <c r="G490" s="16"/>
      <c r="J490" s="14"/>
    </row>
    <row r="491" spans="2:10" ht="12.75" customHeight="1" x14ac:dyDescent="0.3">
      <c r="B491" s="15"/>
      <c r="C491" s="15"/>
      <c r="G491" s="16"/>
      <c r="J491" s="14"/>
    </row>
    <row r="492" spans="2:10" ht="12.75" customHeight="1" x14ac:dyDescent="0.3">
      <c r="B492" s="15"/>
      <c r="C492" s="15"/>
      <c r="G492" s="16"/>
      <c r="J492" s="14"/>
    </row>
    <row r="493" spans="2:10" ht="12.75" customHeight="1" x14ac:dyDescent="0.3">
      <c r="B493" s="15"/>
      <c r="C493" s="15"/>
      <c r="G493" s="16"/>
      <c r="J493" s="14"/>
    </row>
    <row r="494" spans="2:10" ht="12.75" customHeight="1" x14ac:dyDescent="0.3">
      <c r="B494" s="15"/>
      <c r="C494" s="15"/>
      <c r="G494" s="16"/>
      <c r="J494" s="14"/>
    </row>
    <row r="495" spans="2:10" ht="12.75" customHeight="1" x14ac:dyDescent="0.3">
      <c r="B495" s="15"/>
      <c r="C495" s="15"/>
      <c r="G495" s="16"/>
      <c r="J495" s="14"/>
    </row>
    <row r="496" spans="2:10" ht="12.75" customHeight="1" x14ac:dyDescent="0.3">
      <c r="B496" s="15"/>
      <c r="C496" s="15"/>
      <c r="G496" s="16"/>
      <c r="J496" s="14"/>
    </row>
    <row r="497" spans="2:10" ht="12.75" customHeight="1" x14ac:dyDescent="0.3">
      <c r="B497" s="15"/>
      <c r="C497" s="15"/>
      <c r="G497" s="16"/>
      <c r="J497" s="14"/>
    </row>
    <row r="498" spans="2:10" ht="12.75" customHeight="1" x14ac:dyDescent="0.3">
      <c r="B498" s="15"/>
      <c r="C498" s="15"/>
      <c r="G498" s="16"/>
      <c r="J498" s="14"/>
    </row>
    <row r="499" spans="2:10" ht="12.75" customHeight="1" x14ac:dyDescent="0.3">
      <c r="B499" s="15"/>
      <c r="C499" s="15"/>
      <c r="G499" s="16"/>
      <c r="J499" s="14"/>
    </row>
    <row r="500" spans="2:10" ht="12.75" customHeight="1" x14ac:dyDescent="0.3">
      <c r="B500" s="15"/>
      <c r="C500" s="15"/>
      <c r="G500" s="16"/>
      <c r="J500" s="14"/>
    </row>
    <row r="501" spans="2:10" ht="12.75" customHeight="1" x14ac:dyDescent="0.3">
      <c r="B501" s="15"/>
      <c r="C501" s="15"/>
      <c r="G501" s="16"/>
      <c r="J501" s="14"/>
    </row>
    <row r="502" spans="2:10" ht="12.75" customHeight="1" x14ac:dyDescent="0.3">
      <c r="B502" s="15"/>
      <c r="C502" s="15"/>
      <c r="G502" s="16"/>
      <c r="J502" s="14"/>
    </row>
    <row r="503" spans="2:10" ht="12.75" customHeight="1" x14ac:dyDescent="0.3">
      <c r="B503" s="15"/>
      <c r="C503" s="15"/>
      <c r="G503" s="16"/>
      <c r="J503" s="14"/>
    </row>
    <row r="504" spans="2:10" ht="12.75" customHeight="1" x14ac:dyDescent="0.3">
      <c r="B504" s="15"/>
      <c r="C504" s="15"/>
      <c r="G504" s="16"/>
      <c r="J504" s="14"/>
    </row>
    <row r="505" spans="2:10" ht="12.75" customHeight="1" x14ac:dyDescent="0.3">
      <c r="B505" s="15"/>
      <c r="C505" s="15"/>
      <c r="G505" s="16"/>
      <c r="J505" s="14"/>
    </row>
    <row r="506" spans="2:10" ht="12.75" customHeight="1" x14ac:dyDescent="0.3">
      <c r="B506" s="15"/>
      <c r="C506" s="15"/>
      <c r="G506" s="16"/>
      <c r="J506" s="14"/>
    </row>
    <row r="507" spans="2:10" ht="12.75" customHeight="1" x14ac:dyDescent="0.3">
      <c r="B507" s="15"/>
      <c r="C507" s="15"/>
      <c r="G507" s="16"/>
      <c r="J507" s="14"/>
    </row>
    <row r="508" spans="2:10" ht="12.75" customHeight="1" x14ac:dyDescent="0.3">
      <c r="B508" s="15"/>
      <c r="C508" s="15"/>
      <c r="G508" s="16"/>
      <c r="J508" s="14"/>
    </row>
    <row r="509" spans="2:10" ht="12.75" customHeight="1" x14ac:dyDescent="0.3">
      <c r="B509" s="15"/>
      <c r="C509" s="15"/>
      <c r="G509" s="16"/>
      <c r="J509" s="14"/>
    </row>
    <row r="510" spans="2:10" ht="12.75" customHeight="1" x14ac:dyDescent="0.3">
      <c r="B510" s="15"/>
      <c r="C510" s="15"/>
      <c r="G510" s="16"/>
      <c r="J510" s="14"/>
    </row>
    <row r="511" spans="2:10" ht="12.75" customHeight="1" x14ac:dyDescent="0.3">
      <c r="B511" s="15"/>
      <c r="C511" s="15"/>
      <c r="G511" s="16"/>
      <c r="J511" s="14"/>
    </row>
    <row r="512" spans="2:10" ht="12.75" customHeight="1" x14ac:dyDescent="0.3">
      <c r="B512" s="15"/>
      <c r="C512" s="15"/>
      <c r="G512" s="16"/>
      <c r="J512" s="14"/>
    </row>
    <row r="513" spans="2:10" ht="12.75" customHeight="1" x14ac:dyDescent="0.3">
      <c r="B513" s="15"/>
      <c r="C513" s="15"/>
      <c r="G513" s="16"/>
      <c r="J513" s="14"/>
    </row>
    <row r="514" spans="2:10" ht="12.75" customHeight="1" x14ac:dyDescent="0.3">
      <c r="B514" s="15"/>
      <c r="C514" s="15"/>
      <c r="G514" s="16"/>
      <c r="J514" s="14"/>
    </row>
    <row r="515" spans="2:10" ht="12.75" customHeight="1" x14ac:dyDescent="0.3">
      <c r="B515" s="15"/>
      <c r="C515" s="15"/>
      <c r="G515" s="16"/>
      <c r="J515" s="14"/>
    </row>
    <row r="516" spans="2:10" ht="12.75" customHeight="1" x14ac:dyDescent="0.3">
      <c r="B516" s="15"/>
      <c r="C516" s="15"/>
      <c r="G516" s="16"/>
      <c r="J516" s="14"/>
    </row>
    <row r="517" spans="2:10" ht="12.75" customHeight="1" x14ac:dyDescent="0.3">
      <c r="B517" s="15"/>
      <c r="C517" s="15"/>
      <c r="G517" s="16"/>
      <c r="J517" s="14"/>
    </row>
    <row r="518" spans="2:10" ht="12.75" customHeight="1" x14ac:dyDescent="0.3">
      <c r="B518" s="15"/>
      <c r="C518" s="15"/>
      <c r="G518" s="16"/>
      <c r="J518" s="14"/>
    </row>
    <row r="519" spans="2:10" ht="12.75" customHeight="1" x14ac:dyDescent="0.3">
      <c r="B519" s="15"/>
      <c r="C519" s="15"/>
      <c r="G519" s="16"/>
      <c r="J519" s="14"/>
    </row>
    <row r="520" spans="2:10" ht="12.75" customHeight="1" x14ac:dyDescent="0.3">
      <c r="B520" s="15"/>
      <c r="C520" s="15"/>
      <c r="G520" s="16"/>
      <c r="J520" s="14"/>
    </row>
    <row r="521" spans="2:10" ht="12.75" customHeight="1" x14ac:dyDescent="0.3">
      <c r="B521" s="15"/>
      <c r="C521" s="15"/>
      <c r="G521" s="16"/>
      <c r="J521" s="14"/>
    </row>
    <row r="522" spans="2:10" ht="12.75" customHeight="1" x14ac:dyDescent="0.3">
      <c r="B522" s="15"/>
      <c r="C522" s="15"/>
      <c r="G522" s="16"/>
      <c r="J522" s="14"/>
    </row>
    <row r="523" spans="2:10" ht="12.75" customHeight="1" x14ac:dyDescent="0.3">
      <c r="B523" s="15"/>
      <c r="C523" s="15"/>
      <c r="G523" s="16"/>
      <c r="J523" s="14"/>
    </row>
    <row r="524" spans="2:10" ht="12.75" customHeight="1" x14ac:dyDescent="0.3">
      <c r="B524" s="15"/>
      <c r="C524" s="15"/>
      <c r="G524" s="16"/>
      <c r="J524" s="14"/>
    </row>
    <row r="525" spans="2:10" ht="12.75" customHeight="1" x14ac:dyDescent="0.3">
      <c r="B525" s="15"/>
      <c r="C525" s="15"/>
      <c r="G525" s="16"/>
      <c r="J525" s="14"/>
    </row>
    <row r="526" spans="2:10" ht="12.75" customHeight="1" x14ac:dyDescent="0.3">
      <c r="B526" s="15"/>
      <c r="C526" s="15"/>
      <c r="G526" s="16"/>
      <c r="J526" s="14"/>
    </row>
    <row r="527" spans="2:10" ht="12.75" customHeight="1" x14ac:dyDescent="0.3">
      <c r="B527" s="15"/>
      <c r="C527" s="15"/>
      <c r="G527" s="16"/>
      <c r="J527" s="14"/>
    </row>
    <row r="528" spans="2:10" ht="12.75" customHeight="1" x14ac:dyDescent="0.3">
      <c r="B528" s="15"/>
      <c r="C528" s="15"/>
      <c r="G528" s="16"/>
      <c r="J528" s="14"/>
    </row>
    <row r="529" spans="2:10" ht="12.75" customHeight="1" x14ac:dyDescent="0.3">
      <c r="B529" s="15"/>
      <c r="C529" s="15"/>
      <c r="G529" s="16"/>
      <c r="J529" s="14"/>
    </row>
    <row r="530" spans="2:10" ht="12.75" customHeight="1" x14ac:dyDescent="0.3">
      <c r="B530" s="15"/>
      <c r="C530" s="15"/>
      <c r="G530" s="16"/>
      <c r="J530" s="14"/>
    </row>
    <row r="531" spans="2:10" ht="12.75" customHeight="1" x14ac:dyDescent="0.3">
      <c r="B531" s="15"/>
      <c r="C531" s="15"/>
      <c r="G531" s="16"/>
      <c r="J531" s="14"/>
    </row>
    <row r="532" spans="2:10" ht="12.75" customHeight="1" x14ac:dyDescent="0.3">
      <c r="B532" s="15"/>
      <c r="C532" s="15"/>
      <c r="G532" s="16"/>
      <c r="J532" s="14"/>
    </row>
    <row r="533" spans="2:10" ht="12.75" customHeight="1" x14ac:dyDescent="0.3">
      <c r="B533" s="15"/>
      <c r="C533" s="15"/>
      <c r="G533" s="16"/>
      <c r="J533" s="14"/>
    </row>
    <row r="534" spans="2:10" ht="12.75" customHeight="1" x14ac:dyDescent="0.3">
      <c r="B534" s="15"/>
      <c r="C534" s="15"/>
      <c r="G534" s="16"/>
      <c r="J534" s="14"/>
    </row>
    <row r="535" spans="2:10" ht="12.75" customHeight="1" x14ac:dyDescent="0.3">
      <c r="B535" s="15"/>
      <c r="C535" s="15"/>
      <c r="G535" s="16"/>
      <c r="J535" s="14"/>
    </row>
    <row r="536" spans="2:10" ht="12.75" customHeight="1" x14ac:dyDescent="0.3">
      <c r="B536" s="15"/>
      <c r="C536" s="15"/>
      <c r="G536" s="16"/>
      <c r="J536" s="14"/>
    </row>
    <row r="537" spans="2:10" ht="12.75" customHeight="1" x14ac:dyDescent="0.3">
      <c r="B537" s="15"/>
      <c r="C537" s="15"/>
      <c r="G537" s="16"/>
      <c r="J537" s="14"/>
    </row>
    <row r="538" spans="2:10" ht="12.75" customHeight="1" x14ac:dyDescent="0.3">
      <c r="B538" s="15"/>
      <c r="C538" s="15"/>
      <c r="G538" s="16"/>
      <c r="J538" s="14"/>
    </row>
    <row r="539" spans="2:10" ht="12.75" customHeight="1" x14ac:dyDescent="0.3">
      <c r="B539" s="15"/>
      <c r="C539" s="15"/>
      <c r="G539" s="16"/>
      <c r="J539" s="14"/>
    </row>
    <row r="540" spans="2:10" ht="12.75" customHeight="1" x14ac:dyDescent="0.3">
      <c r="B540" s="15"/>
      <c r="C540" s="15"/>
      <c r="G540" s="16"/>
      <c r="J540" s="14"/>
    </row>
    <row r="541" spans="2:10" ht="12.75" customHeight="1" x14ac:dyDescent="0.3">
      <c r="B541" s="15"/>
      <c r="C541" s="15"/>
      <c r="G541" s="16"/>
      <c r="J541" s="14"/>
    </row>
    <row r="542" spans="2:10" ht="12.75" customHeight="1" x14ac:dyDescent="0.3">
      <c r="B542" s="15"/>
      <c r="C542" s="15"/>
      <c r="G542" s="16"/>
      <c r="J542" s="14"/>
    </row>
    <row r="543" spans="2:10" ht="12.75" customHeight="1" x14ac:dyDescent="0.3">
      <c r="B543" s="15"/>
      <c r="C543" s="15"/>
      <c r="G543" s="16"/>
      <c r="J543" s="14"/>
    </row>
    <row r="544" spans="2:10" ht="12.75" customHeight="1" x14ac:dyDescent="0.3">
      <c r="B544" s="15"/>
      <c r="C544" s="15"/>
      <c r="G544" s="16"/>
      <c r="J544" s="14"/>
    </row>
    <row r="545" spans="2:10" ht="12.75" customHeight="1" x14ac:dyDescent="0.3">
      <c r="B545" s="15"/>
      <c r="C545" s="15"/>
      <c r="G545" s="16"/>
      <c r="J545" s="14"/>
    </row>
    <row r="546" spans="2:10" ht="12.75" customHeight="1" x14ac:dyDescent="0.3">
      <c r="B546" s="15"/>
      <c r="C546" s="15"/>
      <c r="G546" s="16"/>
      <c r="J546" s="14"/>
    </row>
    <row r="547" spans="2:10" ht="12.75" customHeight="1" x14ac:dyDescent="0.3">
      <c r="B547" s="15"/>
      <c r="C547" s="15"/>
      <c r="G547" s="16"/>
      <c r="J547" s="14"/>
    </row>
    <row r="548" spans="2:10" ht="12.75" customHeight="1" x14ac:dyDescent="0.3">
      <c r="B548" s="15"/>
      <c r="C548" s="15"/>
      <c r="G548" s="16"/>
      <c r="J548" s="14"/>
    </row>
    <row r="549" spans="2:10" ht="12.75" customHeight="1" x14ac:dyDescent="0.3">
      <c r="B549" s="15"/>
      <c r="C549" s="15"/>
      <c r="G549" s="16"/>
      <c r="J549" s="14"/>
    </row>
    <row r="550" spans="2:10" ht="12.75" customHeight="1" x14ac:dyDescent="0.3">
      <c r="B550" s="15"/>
      <c r="C550" s="15"/>
      <c r="G550" s="16"/>
      <c r="J550" s="14"/>
    </row>
    <row r="551" spans="2:10" ht="12.75" customHeight="1" x14ac:dyDescent="0.3">
      <c r="B551" s="15"/>
      <c r="C551" s="15"/>
      <c r="G551" s="16"/>
      <c r="J551" s="14"/>
    </row>
    <row r="552" spans="2:10" ht="12.75" customHeight="1" x14ac:dyDescent="0.3">
      <c r="B552" s="15"/>
      <c r="C552" s="15"/>
      <c r="G552" s="16"/>
      <c r="J552" s="14"/>
    </row>
    <row r="553" spans="2:10" ht="12.75" customHeight="1" x14ac:dyDescent="0.3">
      <c r="B553" s="15"/>
      <c r="C553" s="15"/>
      <c r="G553" s="16"/>
      <c r="J553" s="14"/>
    </row>
    <row r="554" spans="2:10" ht="12.75" customHeight="1" x14ac:dyDescent="0.3">
      <c r="B554" s="15"/>
      <c r="C554" s="15"/>
      <c r="G554" s="16"/>
      <c r="J554" s="14"/>
    </row>
    <row r="555" spans="2:10" ht="12.75" customHeight="1" x14ac:dyDescent="0.3">
      <c r="B555" s="15"/>
      <c r="C555" s="15"/>
      <c r="G555" s="16"/>
      <c r="J555" s="14"/>
    </row>
    <row r="556" spans="2:10" ht="12.75" customHeight="1" x14ac:dyDescent="0.3">
      <c r="B556" s="15"/>
      <c r="C556" s="15"/>
      <c r="G556" s="16"/>
      <c r="J556" s="14"/>
    </row>
    <row r="557" spans="2:10" ht="12.75" customHeight="1" x14ac:dyDescent="0.3">
      <c r="B557" s="15"/>
      <c r="C557" s="15"/>
      <c r="G557" s="16"/>
      <c r="J557" s="14"/>
    </row>
    <row r="558" spans="2:10" ht="12.75" customHeight="1" x14ac:dyDescent="0.3">
      <c r="B558" s="15"/>
      <c r="C558" s="15"/>
      <c r="G558" s="16"/>
      <c r="J558" s="14"/>
    </row>
    <row r="559" spans="2:10" ht="12.75" customHeight="1" x14ac:dyDescent="0.3">
      <c r="B559" s="15"/>
      <c r="C559" s="15"/>
      <c r="G559" s="16"/>
      <c r="J559" s="14"/>
    </row>
    <row r="560" spans="2:10" ht="12.75" customHeight="1" x14ac:dyDescent="0.3">
      <c r="B560" s="15"/>
      <c r="C560" s="15"/>
      <c r="G560" s="16"/>
      <c r="J560" s="14"/>
    </row>
    <row r="561" spans="2:10" ht="12.75" customHeight="1" x14ac:dyDescent="0.3">
      <c r="B561" s="15"/>
      <c r="C561" s="15"/>
      <c r="G561" s="16"/>
      <c r="J561" s="14"/>
    </row>
    <row r="562" spans="2:10" ht="12.75" customHeight="1" x14ac:dyDescent="0.3">
      <c r="B562" s="15"/>
      <c r="C562" s="15"/>
      <c r="G562" s="16"/>
      <c r="J562" s="14"/>
    </row>
    <row r="563" spans="2:10" ht="12.75" customHeight="1" x14ac:dyDescent="0.3">
      <c r="B563" s="15"/>
      <c r="C563" s="15"/>
      <c r="G563" s="16"/>
      <c r="J563" s="14"/>
    </row>
    <row r="564" spans="2:10" ht="12.75" customHeight="1" x14ac:dyDescent="0.3">
      <c r="B564" s="15"/>
      <c r="C564" s="15"/>
      <c r="G564" s="16"/>
      <c r="J564" s="14"/>
    </row>
    <row r="565" spans="2:10" ht="12.75" customHeight="1" x14ac:dyDescent="0.3">
      <c r="B565" s="15"/>
      <c r="C565" s="15"/>
      <c r="G565" s="16"/>
      <c r="J565" s="14"/>
    </row>
    <row r="566" spans="2:10" ht="12.75" customHeight="1" x14ac:dyDescent="0.3">
      <c r="B566" s="15"/>
      <c r="C566" s="15"/>
      <c r="G566" s="16"/>
      <c r="J566" s="14"/>
    </row>
    <row r="567" spans="2:10" ht="12.75" customHeight="1" x14ac:dyDescent="0.3">
      <c r="B567" s="15"/>
      <c r="C567" s="15"/>
      <c r="G567" s="16"/>
      <c r="J567" s="14"/>
    </row>
    <row r="568" spans="2:10" ht="12.75" customHeight="1" x14ac:dyDescent="0.3">
      <c r="B568" s="15"/>
      <c r="C568" s="15"/>
      <c r="G568" s="16"/>
      <c r="J568" s="14"/>
    </row>
    <row r="569" spans="2:10" ht="12.75" customHeight="1" x14ac:dyDescent="0.3">
      <c r="B569" s="15"/>
      <c r="C569" s="15"/>
      <c r="G569" s="16"/>
      <c r="J569" s="14"/>
    </row>
    <row r="570" spans="2:10" ht="12.75" customHeight="1" x14ac:dyDescent="0.3">
      <c r="B570" s="15"/>
      <c r="C570" s="15"/>
      <c r="G570" s="16"/>
      <c r="J570" s="14"/>
    </row>
    <row r="571" spans="2:10" ht="12.75" customHeight="1" x14ac:dyDescent="0.3">
      <c r="B571" s="15"/>
      <c r="C571" s="15"/>
      <c r="G571" s="16"/>
      <c r="J571" s="14"/>
    </row>
    <row r="572" spans="2:10" ht="12.75" customHeight="1" x14ac:dyDescent="0.3">
      <c r="B572" s="15"/>
      <c r="C572" s="15"/>
      <c r="G572" s="16"/>
      <c r="J572" s="14"/>
    </row>
    <row r="573" spans="2:10" ht="12.75" customHeight="1" x14ac:dyDescent="0.3">
      <c r="B573" s="15"/>
      <c r="C573" s="15"/>
      <c r="G573" s="16"/>
      <c r="J573" s="14"/>
    </row>
    <row r="574" spans="2:10" ht="12.75" customHeight="1" x14ac:dyDescent="0.3">
      <c r="B574" s="15"/>
      <c r="C574" s="15"/>
      <c r="G574" s="16"/>
      <c r="J574" s="14"/>
    </row>
    <row r="575" spans="2:10" ht="12.75" customHeight="1" x14ac:dyDescent="0.3">
      <c r="B575" s="15"/>
      <c r="C575" s="15"/>
      <c r="G575" s="16"/>
      <c r="J575" s="14"/>
    </row>
    <row r="576" spans="2:10" ht="12.75" customHeight="1" x14ac:dyDescent="0.3">
      <c r="B576" s="15"/>
      <c r="C576" s="15"/>
      <c r="G576" s="16"/>
      <c r="J576" s="14"/>
    </row>
    <row r="577" spans="2:10" ht="12.75" customHeight="1" x14ac:dyDescent="0.3">
      <c r="B577" s="15"/>
      <c r="C577" s="15"/>
      <c r="G577" s="16"/>
      <c r="J577" s="14"/>
    </row>
    <row r="578" spans="2:10" ht="12.75" customHeight="1" x14ac:dyDescent="0.3">
      <c r="B578" s="15"/>
      <c r="C578" s="15"/>
      <c r="G578" s="16"/>
      <c r="J578" s="14"/>
    </row>
    <row r="579" spans="2:10" ht="12.75" customHeight="1" x14ac:dyDescent="0.3">
      <c r="B579" s="15"/>
      <c r="C579" s="15"/>
      <c r="G579" s="16"/>
      <c r="J579" s="14"/>
    </row>
    <row r="580" spans="2:10" ht="12.75" customHeight="1" x14ac:dyDescent="0.3">
      <c r="B580" s="15"/>
      <c r="C580" s="15"/>
      <c r="G580" s="16"/>
      <c r="J580" s="14"/>
    </row>
    <row r="581" spans="2:10" ht="12.75" customHeight="1" x14ac:dyDescent="0.3">
      <c r="B581" s="15"/>
      <c r="C581" s="15"/>
      <c r="G581" s="16"/>
      <c r="J581" s="14"/>
    </row>
    <row r="582" spans="2:10" ht="12.75" customHeight="1" x14ac:dyDescent="0.3">
      <c r="B582" s="15"/>
      <c r="C582" s="15"/>
      <c r="G582" s="16"/>
      <c r="J582" s="14"/>
    </row>
    <row r="583" spans="2:10" ht="12.75" customHeight="1" x14ac:dyDescent="0.3">
      <c r="B583" s="15"/>
      <c r="C583" s="15"/>
      <c r="G583" s="16"/>
      <c r="J583" s="14"/>
    </row>
    <row r="584" spans="2:10" ht="12.75" customHeight="1" x14ac:dyDescent="0.3">
      <c r="B584" s="15"/>
      <c r="C584" s="15"/>
      <c r="G584" s="16"/>
      <c r="J584" s="14"/>
    </row>
    <row r="585" spans="2:10" ht="12.75" customHeight="1" x14ac:dyDescent="0.3">
      <c r="B585" s="15"/>
      <c r="C585" s="15"/>
      <c r="G585" s="16"/>
      <c r="J585" s="14"/>
    </row>
    <row r="586" spans="2:10" ht="12.75" customHeight="1" x14ac:dyDescent="0.3">
      <c r="B586" s="15"/>
      <c r="C586" s="15"/>
      <c r="G586" s="16"/>
      <c r="J586" s="14"/>
    </row>
    <row r="587" spans="2:10" ht="12.75" customHeight="1" x14ac:dyDescent="0.3">
      <c r="B587" s="15"/>
      <c r="C587" s="15"/>
      <c r="G587" s="16"/>
      <c r="J587" s="14"/>
    </row>
    <row r="588" spans="2:10" ht="12.75" customHeight="1" x14ac:dyDescent="0.3">
      <c r="B588" s="15"/>
      <c r="C588" s="15"/>
      <c r="G588" s="16"/>
      <c r="J588" s="14"/>
    </row>
    <row r="589" spans="2:10" ht="12.75" customHeight="1" x14ac:dyDescent="0.3">
      <c r="B589" s="15"/>
      <c r="C589" s="15"/>
      <c r="G589" s="16"/>
      <c r="J589" s="14"/>
    </row>
    <row r="590" spans="2:10" ht="12.75" customHeight="1" x14ac:dyDescent="0.3">
      <c r="B590" s="15"/>
      <c r="C590" s="15"/>
      <c r="G590" s="16"/>
      <c r="J590" s="14"/>
    </row>
    <row r="591" spans="2:10" ht="12.75" customHeight="1" x14ac:dyDescent="0.3">
      <c r="B591" s="15"/>
      <c r="C591" s="15"/>
      <c r="G591" s="16"/>
      <c r="J591" s="14"/>
    </row>
    <row r="592" spans="2:10" ht="12.75" customHeight="1" x14ac:dyDescent="0.3">
      <c r="B592" s="15"/>
      <c r="C592" s="15"/>
      <c r="G592" s="16"/>
      <c r="J592" s="14"/>
    </row>
    <row r="593" spans="2:10" ht="12.75" customHeight="1" x14ac:dyDescent="0.3">
      <c r="B593" s="15"/>
      <c r="C593" s="15"/>
      <c r="G593" s="16"/>
      <c r="J593" s="14"/>
    </row>
    <row r="594" spans="2:10" ht="12.75" customHeight="1" x14ac:dyDescent="0.3">
      <c r="B594" s="15"/>
      <c r="C594" s="15"/>
      <c r="G594" s="16"/>
      <c r="J594" s="14"/>
    </row>
    <row r="595" spans="2:10" ht="12.75" customHeight="1" x14ac:dyDescent="0.3">
      <c r="B595" s="15"/>
      <c r="C595" s="15"/>
      <c r="G595" s="16"/>
      <c r="J595" s="14"/>
    </row>
    <row r="596" spans="2:10" ht="12.75" customHeight="1" x14ac:dyDescent="0.3">
      <c r="B596" s="15"/>
      <c r="C596" s="15"/>
      <c r="G596" s="16"/>
      <c r="J596" s="14"/>
    </row>
    <row r="597" spans="2:10" ht="12.75" customHeight="1" x14ac:dyDescent="0.3">
      <c r="B597" s="15"/>
      <c r="C597" s="15"/>
      <c r="G597" s="16"/>
      <c r="J597" s="14"/>
    </row>
    <row r="598" spans="2:10" ht="12.75" customHeight="1" x14ac:dyDescent="0.3">
      <c r="B598" s="15"/>
      <c r="C598" s="15"/>
      <c r="G598" s="16"/>
      <c r="J598" s="14"/>
    </row>
    <row r="599" spans="2:10" ht="12.75" customHeight="1" x14ac:dyDescent="0.3">
      <c r="B599" s="15"/>
      <c r="C599" s="15"/>
      <c r="G599" s="16"/>
      <c r="J599" s="14"/>
    </row>
    <row r="600" spans="2:10" ht="12.75" customHeight="1" x14ac:dyDescent="0.3">
      <c r="B600" s="15"/>
      <c r="C600" s="15"/>
      <c r="G600" s="16"/>
      <c r="J600" s="14"/>
    </row>
    <row r="601" spans="2:10" ht="12.75" customHeight="1" x14ac:dyDescent="0.3">
      <c r="B601" s="15"/>
      <c r="C601" s="15"/>
      <c r="G601" s="16"/>
      <c r="J601" s="14"/>
    </row>
    <row r="602" spans="2:10" ht="12.75" customHeight="1" x14ac:dyDescent="0.3">
      <c r="B602" s="15"/>
      <c r="C602" s="15"/>
      <c r="G602" s="16"/>
      <c r="J602" s="14"/>
    </row>
    <row r="603" spans="2:10" ht="12.75" customHeight="1" x14ac:dyDescent="0.3">
      <c r="B603" s="15"/>
      <c r="C603" s="15"/>
      <c r="G603" s="16"/>
      <c r="J603" s="14"/>
    </row>
    <row r="604" spans="2:10" ht="12.75" customHeight="1" x14ac:dyDescent="0.3">
      <c r="B604" s="15"/>
      <c r="C604" s="15"/>
      <c r="G604" s="16"/>
      <c r="J604" s="14"/>
    </row>
    <row r="605" spans="2:10" ht="12.75" customHeight="1" x14ac:dyDescent="0.3">
      <c r="B605" s="15"/>
      <c r="C605" s="15"/>
      <c r="G605" s="16"/>
      <c r="J605" s="14"/>
    </row>
    <row r="606" spans="2:10" ht="12.75" customHeight="1" x14ac:dyDescent="0.3">
      <c r="B606" s="15"/>
      <c r="C606" s="15"/>
      <c r="G606" s="16"/>
      <c r="J606" s="14"/>
    </row>
    <row r="607" spans="2:10" ht="12.75" customHeight="1" x14ac:dyDescent="0.3">
      <c r="B607" s="15"/>
      <c r="C607" s="15"/>
      <c r="G607" s="16"/>
      <c r="J607" s="14"/>
    </row>
    <row r="608" spans="2:10" ht="12.75" customHeight="1" x14ac:dyDescent="0.3">
      <c r="B608" s="15"/>
      <c r="C608" s="15"/>
      <c r="G608" s="16"/>
      <c r="J608" s="14"/>
    </row>
    <row r="609" spans="2:10" ht="12.75" customHeight="1" x14ac:dyDescent="0.3">
      <c r="B609" s="15"/>
      <c r="C609" s="15"/>
      <c r="G609" s="16"/>
      <c r="J609" s="14"/>
    </row>
    <row r="610" spans="2:10" ht="12.75" customHeight="1" x14ac:dyDescent="0.3">
      <c r="B610" s="15"/>
      <c r="C610" s="15"/>
      <c r="G610" s="16"/>
      <c r="J610" s="14"/>
    </row>
    <row r="611" spans="2:10" ht="12.75" customHeight="1" x14ac:dyDescent="0.3">
      <c r="B611" s="15"/>
      <c r="C611" s="15"/>
      <c r="G611" s="16"/>
      <c r="J611" s="14"/>
    </row>
    <row r="612" spans="2:10" ht="12.75" customHeight="1" x14ac:dyDescent="0.3">
      <c r="B612" s="15"/>
      <c r="C612" s="15"/>
      <c r="G612" s="16"/>
      <c r="J612" s="14"/>
    </row>
    <row r="613" spans="2:10" ht="12.75" customHeight="1" x14ac:dyDescent="0.3">
      <c r="B613" s="15"/>
      <c r="C613" s="15"/>
      <c r="G613" s="16"/>
      <c r="J613" s="14"/>
    </row>
    <row r="614" spans="2:10" ht="12.75" customHeight="1" x14ac:dyDescent="0.3">
      <c r="B614" s="15"/>
      <c r="C614" s="15"/>
      <c r="G614" s="16"/>
      <c r="J614" s="14"/>
    </row>
    <row r="615" spans="2:10" ht="12.75" customHeight="1" x14ac:dyDescent="0.3">
      <c r="B615" s="15"/>
      <c r="C615" s="15"/>
      <c r="G615" s="16"/>
      <c r="J615" s="14"/>
    </row>
    <row r="616" spans="2:10" ht="12.75" customHeight="1" x14ac:dyDescent="0.3">
      <c r="B616" s="15"/>
      <c r="C616" s="15"/>
      <c r="G616" s="16"/>
      <c r="J616" s="14"/>
    </row>
    <row r="617" spans="2:10" ht="12.75" customHeight="1" x14ac:dyDescent="0.3">
      <c r="B617" s="15"/>
      <c r="C617" s="15"/>
      <c r="G617" s="16"/>
      <c r="J617" s="14"/>
    </row>
    <row r="618" spans="2:10" ht="12.75" customHeight="1" x14ac:dyDescent="0.3">
      <c r="B618" s="15"/>
      <c r="C618" s="15"/>
      <c r="G618" s="16"/>
      <c r="J618" s="14"/>
    </row>
    <row r="619" spans="2:10" ht="12.75" customHeight="1" x14ac:dyDescent="0.3">
      <c r="B619" s="15"/>
      <c r="C619" s="15"/>
      <c r="G619" s="16"/>
      <c r="J619" s="14"/>
    </row>
    <row r="620" spans="2:10" ht="12.75" customHeight="1" x14ac:dyDescent="0.3">
      <c r="B620" s="15"/>
      <c r="C620" s="15"/>
      <c r="G620" s="16"/>
      <c r="J620" s="14"/>
    </row>
    <row r="621" spans="2:10" ht="12.75" customHeight="1" x14ac:dyDescent="0.3">
      <c r="B621" s="15"/>
      <c r="C621" s="15"/>
      <c r="G621" s="16"/>
      <c r="J621" s="14"/>
    </row>
    <row r="622" spans="2:10" ht="12.75" customHeight="1" x14ac:dyDescent="0.3">
      <c r="B622" s="15"/>
      <c r="C622" s="15"/>
      <c r="G622" s="16"/>
      <c r="J622" s="14"/>
    </row>
    <row r="623" spans="2:10" ht="12.75" customHeight="1" x14ac:dyDescent="0.3">
      <c r="B623" s="15"/>
      <c r="C623" s="15"/>
      <c r="G623" s="16"/>
      <c r="J623" s="14"/>
    </row>
    <row r="624" spans="2:10" ht="12.75" customHeight="1" x14ac:dyDescent="0.3">
      <c r="B624" s="15"/>
      <c r="C624" s="15"/>
      <c r="G624" s="16"/>
      <c r="J624" s="14"/>
    </row>
    <row r="625" spans="2:10" ht="12.75" customHeight="1" x14ac:dyDescent="0.3">
      <c r="B625" s="15"/>
      <c r="C625" s="15"/>
      <c r="G625" s="16"/>
      <c r="J625" s="14"/>
    </row>
    <row r="626" spans="2:10" ht="12.75" customHeight="1" x14ac:dyDescent="0.3">
      <c r="B626" s="15"/>
      <c r="C626" s="15"/>
      <c r="G626" s="16"/>
      <c r="J626" s="14"/>
    </row>
    <row r="627" spans="2:10" ht="12.75" customHeight="1" x14ac:dyDescent="0.3">
      <c r="B627" s="15"/>
      <c r="C627" s="15"/>
      <c r="G627" s="16"/>
      <c r="J627" s="14"/>
    </row>
    <row r="628" spans="2:10" ht="12.75" customHeight="1" x14ac:dyDescent="0.3">
      <c r="B628" s="15"/>
      <c r="C628" s="15"/>
      <c r="G628" s="16"/>
      <c r="J628" s="14"/>
    </row>
    <row r="629" spans="2:10" ht="12.75" customHeight="1" x14ac:dyDescent="0.3">
      <c r="B629" s="15"/>
      <c r="C629" s="15"/>
      <c r="G629" s="16"/>
      <c r="J629" s="14"/>
    </row>
    <row r="630" spans="2:10" ht="12.75" customHeight="1" x14ac:dyDescent="0.3">
      <c r="B630" s="15"/>
      <c r="C630" s="15"/>
      <c r="G630" s="16"/>
      <c r="J630" s="14"/>
    </row>
    <row r="631" spans="2:10" ht="12.75" customHeight="1" x14ac:dyDescent="0.3">
      <c r="B631" s="15"/>
      <c r="C631" s="15"/>
      <c r="G631" s="16"/>
      <c r="J631" s="14"/>
    </row>
    <row r="632" spans="2:10" ht="12.75" customHeight="1" x14ac:dyDescent="0.3">
      <c r="B632" s="15"/>
      <c r="C632" s="15"/>
      <c r="G632" s="16"/>
      <c r="J632" s="14"/>
    </row>
    <row r="633" spans="2:10" ht="12.75" customHeight="1" x14ac:dyDescent="0.3">
      <c r="B633" s="15"/>
      <c r="C633" s="15"/>
      <c r="G633" s="16"/>
      <c r="J633" s="14"/>
    </row>
    <row r="634" spans="2:10" ht="12.75" customHeight="1" x14ac:dyDescent="0.3">
      <c r="B634" s="15"/>
      <c r="C634" s="15"/>
      <c r="G634" s="16"/>
      <c r="J634" s="14"/>
    </row>
    <row r="635" spans="2:10" ht="12.75" customHeight="1" x14ac:dyDescent="0.3">
      <c r="B635" s="15"/>
      <c r="C635" s="15"/>
      <c r="G635" s="16"/>
      <c r="J635" s="14"/>
    </row>
    <row r="636" spans="2:10" ht="12.75" customHeight="1" x14ac:dyDescent="0.3">
      <c r="B636" s="15"/>
      <c r="C636" s="15"/>
      <c r="G636" s="16"/>
      <c r="J636" s="14"/>
    </row>
    <row r="637" spans="2:10" ht="12.75" customHeight="1" x14ac:dyDescent="0.3">
      <c r="B637" s="15"/>
      <c r="C637" s="15"/>
      <c r="G637" s="16"/>
      <c r="J637" s="14"/>
    </row>
    <row r="638" spans="2:10" ht="12.75" customHeight="1" x14ac:dyDescent="0.3">
      <c r="B638" s="15"/>
      <c r="C638" s="15"/>
      <c r="G638" s="16"/>
      <c r="J638" s="14"/>
    </row>
    <row r="639" spans="2:10" ht="12.75" customHeight="1" x14ac:dyDescent="0.3">
      <c r="B639" s="15"/>
      <c r="C639" s="15"/>
      <c r="G639" s="16"/>
      <c r="J639" s="14"/>
    </row>
    <row r="640" spans="2:10" ht="12.75" customHeight="1" x14ac:dyDescent="0.3">
      <c r="B640" s="15"/>
      <c r="C640" s="15"/>
      <c r="G640" s="16"/>
      <c r="J640" s="14"/>
    </row>
    <row r="641" spans="2:10" ht="12.75" customHeight="1" x14ac:dyDescent="0.3">
      <c r="B641" s="15"/>
      <c r="C641" s="15"/>
      <c r="G641" s="16"/>
      <c r="J641" s="14"/>
    </row>
    <row r="642" spans="2:10" ht="12.75" customHeight="1" x14ac:dyDescent="0.3">
      <c r="B642" s="15"/>
      <c r="C642" s="15"/>
      <c r="G642" s="16"/>
      <c r="J642" s="14"/>
    </row>
    <row r="643" spans="2:10" ht="12.75" customHeight="1" x14ac:dyDescent="0.3">
      <c r="B643" s="15"/>
      <c r="C643" s="15"/>
      <c r="G643" s="16"/>
      <c r="J643" s="14"/>
    </row>
    <row r="644" spans="2:10" ht="12.75" customHeight="1" x14ac:dyDescent="0.3">
      <c r="B644" s="15"/>
      <c r="C644" s="15"/>
      <c r="G644" s="16"/>
      <c r="J644" s="14"/>
    </row>
    <row r="645" spans="2:10" ht="12.75" customHeight="1" x14ac:dyDescent="0.3">
      <c r="B645" s="15"/>
      <c r="C645" s="15"/>
      <c r="G645" s="16"/>
      <c r="J645" s="14"/>
    </row>
    <row r="646" spans="2:10" ht="12.75" customHeight="1" x14ac:dyDescent="0.3">
      <c r="B646" s="15"/>
      <c r="C646" s="15"/>
      <c r="G646" s="16"/>
      <c r="J646" s="14"/>
    </row>
    <row r="647" spans="2:10" ht="12.75" customHeight="1" x14ac:dyDescent="0.3">
      <c r="B647" s="15"/>
      <c r="C647" s="15"/>
      <c r="G647" s="16"/>
      <c r="J647" s="14"/>
    </row>
    <row r="648" spans="2:10" ht="12.75" customHeight="1" x14ac:dyDescent="0.3">
      <c r="B648" s="15"/>
      <c r="C648" s="15"/>
      <c r="G648" s="16"/>
      <c r="J648" s="14"/>
    </row>
    <row r="649" spans="2:10" ht="12.75" customHeight="1" x14ac:dyDescent="0.3">
      <c r="B649" s="15"/>
      <c r="C649" s="15"/>
      <c r="G649" s="16"/>
      <c r="J649" s="14"/>
    </row>
    <row r="650" spans="2:10" ht="12.75" customHeight="1" x14ac:dyDescent="0.3">
      <c r="B650" s="15"/>
      <c r="C650" s="15"/>
      <c r="G650" s="16"/>
      <c r="J650" s="14"/>
    </row>
    <row r="651" spans="2:10" ht="12.75" customHeight="1" x14ac:dyDescent="0.3">
      <c r="B651" s="15"/>
      <c r="C651" s="15"/>
      <c r="G651" s="16"/>
      <c r="J651" s="14"/>
    </row>
    <row r="652" spans="2:10" ht="12.75" customHeight="1" x14ac:dyDescent="0.3">
      <c r="B652" s="15"/>
      <c r="C652" s="15"/>
      <c r="G652" s="16"/>
      <c r="J652" s="14"/>
    </row>
    <row r="653" spans="2:10" ht="12.75" customHeight="1" x14ac:dyDescent="0.3">
      <c r="B653" s="15"/>
      <c r="C653" s="15"/>
      <c r="G653" s="16"/>
      <c r="J653" s="14"/>
    </row>
    <row r="654" spans="2:10" ht="12.75" customHeight="1" x14ac:dyDescent="0.3">
      <c r="B654" s="15"/>
      <c r="C654" s="15"/>
      <c r="G654" s="16"/>
      <c r="J654" s="14"/>
    </row>
    <row r="655" spans="2:10" ht="12.75" customHeight="1" x14ac:dyDescent="0.3">
      <c r="B655" s="15"/>
      <c r="C655" s="15"/>
      <c r="G655" s="16"/>
      <c r="J655" s="14"/>
    </row>
    <row r="656" spans="2:10" ht="12.75" customHeight="1" x14ac:dyDescent="0.3">
      <c r="B656" s="15"/>
      <c r="C656" s="15"/>
      <c r="G656" s="16"/>
      <c r="J656" s="14"/>
    </row>
    <row r="657" spans="2:10" ht="12.75" customHeight="1" x14ac:dyDescent="0.3">
      <c r="B657" s="15"/>
      <c r="C657" s="15"/>
      <c r="G657" s="16"/>
      <c r="J657" s="14"/>
    </row>
    <row r="658" spans="2:10" ht="12.75" customHeight="1" x14ac:dyDescent="0.3">
      <c r="B658" s="15"/>
      <c r="C658" s="15"/>
      <c r="G658" s="16"/>
      <c r="J658" s="14"/>
    </row>
    <row r="659" spans="2:10" ht="12.75" customHeight="1" x14ac:dyDescent="0.3">
      <c r="B659" s="15"/>
      <c r="C659" s="15"/>
      <c r="G659" s="16"/>
      <c r="J659" s="14"/>
    </row>
    <row r="660" spans="2:10" ht="12.75" customHeight="1" x14ac:dyDescent="0.3">
      <c r="B660" s="15"/>
      <c r="C660" s="15"/>
      <c r="G660" s="16"/>
      <c r="J660" s="14"/>
    </row>
    <row r="661" spans="2:10" ht="12.75" customHeight="1" x14ac:dyDescent="0.3">
      <c r="B661" s="15"/>
      <c r="C661" s="15"/>
      <c r="G661" s="16"/>
      <c r="J661" s="14"/>
    </row>
    <row r="662" spans="2:10" ht="12.75" customHeight="1" x14ac:dyDescent="0.3">
      <c r="B662" s="15"/>
      <c r="C662" s="15"/>
      <c r="G662" s="16"/>
      <c r="J662" s="14"/>
    </row>
    <row r="663" spans="2:10" ht="12.75" customHeight="1" x14ac:dyDescent="0.3">
      <c r="B663" s="15"/>
      <c r="C663" s="15"/>
      <c r="G663" s="16"/>
      <c r="J663" s="14"/>
    </row>
    <row r="664" spans="2:10" ht="12.75" customHeight="1" x14ac:dyDescent="0.3">
      <c r="B664" s="15"/>
      <c r="C664" s="15"/>
      <c r="G664" s="16"/>
      <c r="J664" s="14"/>
    </row>
    <row r="665" spans="2:10" ht="12.75" customHeight="1" x14ac:dyDescent="0.3">
      <c r="B665" s="15"/>
      <c r="C665" s="15"/>
      <c r="G665" s="16"/>
      <c r="J665" s="14"/>
    </row>
    <row r="666" spans="2:10" ht="12.75" customHeight="1" x14ac:dyDescent="0.3">
      <c r="B666" s="15"/>
      <c r="C666" s="15"/>
      <c r="G666" s="16"/>
      <c r="J666" s="14"/>
    </row>
    <row r="667" spans="2:10" ht="12.75" customHeight="1" x14ac:dyDescent="0.3">
      <c r="B667" s="15"/>
      <c r="C667" s="15"/>
      <c r="G667" s="16"/>
      <c r="J667" s="14"/>
    </row>
    <row r="668" spans="2:10" ht="12.75" customHeight="1" x14ac:dyDescent="0.3">
      <c r="B668" s="15"/>
      <c r="C668" s="15"/>
      <c r="G668" s="16"/>
      <c r="J668" s="14"/>
    </row>
    <row r="669" spans="2:10" ht="12.75" customHeight="1" x14ac:dyDescent="0.3">
      <c r="B669" s="15"/>
      <c r="C669" s="15"/>
      <c r="G669" s="16"/>
      <c r="J669" s="14"/>
    </row>
    <row r="670" spans="2:10" ht="12.75" customHeight="1" x14ac:dyDescent="0.3">
      <c r="B670" s="15"/>
      <c r="C670" s="15"/>
      <c r="G670" s="16"/>
      <c r="J670" s="14"/>
    </row>
    <row r="671" spans="2:10" ht="12.75" customHeight="1" x14ac:dyDescent="0.3">
      <c r="B671" s="15"/>
      <c r="C671" s="15"/>
      <c r="G671" s="16"/>
      <c r="J671" s="14"/>
    </row>
    <row r="672" spans="2:10" ht="12.75" customHeight="1" x14ac:dyDescent="0.3">
      <c r="B672" s="15"/>
      <c r="C672" s="15"/>
      <c r="G672" s="16"/>
      <c r="J672" s="14"/>
    </row>
    <row r="673" spans="2:10" ht="12.75" customHeight="1" x14ac:dyDescent="0.3">
      <c r="B673" s="15"/>
      <c r="C673" s="15"/>
      <c r="G673" s="16"/>
      <c r="J673" s="14"/>
    </row>
    <row r="674" spans="2:10" ht="12.75" customHeight="1" x14ac:dyDescent="0.3">
      <c r="B674" s="15"/>
      <c r="C674" s="15"/>
      <c r="G674" s="16"/>
      <c r="J674" s="14"/>
    </row>
    <row r="675" spans="2:10" ht="12.75" customHeight="1" x14ac:dyDescent="0.3">
      <c r="B675" s="15"/>
      <c r="C675" s="15"/>
      <c r="G675" s="16"/>
      <c r="J675" s="14"/>
    </row>
    <row r="676" spans="2:10" ht="12.75" customHeight="1" x14ac:dyDescent="0.3">
      <c r="B676" s="15"/>
      <c r="C676" s="15"/>
      <c r="G676" s="16"/>
      <c r="J676" s="14"/>
    </row>
    <row r="677" spans="2:10" ht="12.75" customHeight="1" x14ac:dyDescent="0.3">
      <c r="B677" s="15"/>
      <c r="C677" s="15"/>
      <c r="G677" s="16"/>
      <c r="J677" s="14"/>
    </row>
    <row r="678" spans="2:10" ht="12.75" customHeight="1" x14ac:dyDescent="0.3">
      <c r="B678" s="15"/>
      <c r="C678" s="15"/>
      <c r="G678" s="16"/>
      <c r="J678" s="14"/>
    </row>
    <row r="679" spans="2:10" ht="12.75" customHeight="1" x14ac:dyDescent="0.3">
      <c r="B679" s="15"/>
      <c r="C679" s="15"/>
      <c r="G679" s="16"/>
      <c r="J679" s="14"/>
    </row>
    <row r="680" spans="2:10" ht="12.75" customHeight="1" x14ac:dyDescent="0.3">
      <c r="B680" s="15"/>
      <c r="C680" s="15"/>
      <c r="G680" s="16"/>
      <c r="J680" s="14"/>
    </row>
    <row r="681" spans="2:10" ht="12.75" customHeight="1" x14ac:dyDescent="0.3">
      <c r="B681" s="15"/>
      <c r="C681" s="15"/>
      <c r="G681" s="16"/>
      <c r="J681" s="14"/>
    </row>
    <row r="682" spans="2:10" ht="12.75" customHeight="1" x14ac:dyDescent="0.3">
      <c r="B682" s="15"/>
      <c r="C682" s="15"/>
      <c r="G682" s="16"/>
      <c r="J682" s="14"/>
    </row>
    <row r="683" spans="2:10" ht="12.75" customHeight="1" x14ac:dyDescent="0.3">
      <c r="B683" s="15"/>
      <c r="C683" s="15"/>
      <c r="G683" s="16"/>
      <c r="J683" s="14"/>
    </row>
    <row r="684" spans="2:10" ht="12.75" customHeight="1" x14ac:dyDescent="0.3">
      <c r="B684" s="15"/>
      <c r="C684" s="15"/>
      <c r="G684" s="16"/>
      <c r="J684" s="14"/>
    </row>
    <row r="685" spans="2:10" ht="12.75" customHeight="1" x14ac:dyDescent="0.3">
      <c r="B685" s="15"/>
      <c r="C685" s="15"/>
      <c r="G685" s="16"/>
      <c r="J685" s="14"/>
    </row>
    <row r="686" spans="2:10" ht="12.75" customHeight="1" x14ac:dyDescent="0.3">
      <c r="B686" s="15"/>
      <c r="C686" s="15"/>
      <c r="G686" s="16"/>
      <c r="J686" s="14"/>
    </row>
    <row r="687" spans="2:10" ht="12.75" customHeight="1" x14ac:dyDescent="0.3">
      <c r="B687" s="15"/>
      <c r="C687" s="15"/>
      <c r="G687" s="16"/>
      <c r="J687" s="14"/>
    </row>
    <row r="688" spans="2:10" ht="12.75" customHeight="1" x14ac:dyDescent="0.3">
      <c r="B688" s="15"/>
      <c r="C688" s="15"/>
      <c r="G688" s="16"/>
      <c r="J688" s="14"/>
    </row>
    <row r="689" spans="2:10" ht="12.75" customHeight="1" x14ac:dyDescent="0.3">
      <c r="B689" s="15"/>
      <c r="C689" s="15"/>
      <c r="G689" s="16"/>
      <c r="J689" s="14"/>
    </row>
    <row r="690" spans="2:10" ht="12.75" customHeight="1" x14ac:dyDescent="0.3">
      <c r="B690" s="15"/>
      <c r="C690" s="15"/>
      <c r="G690" s="16"/>
      <c r="J690" s="14"/>
    </row>
    <row r="691" spans="2:10" ht="12.75" customHeight="1" x14ac:dyDescent="0.3">
      <c r="B691" s="15"/>
      <c r="C691" s="15"/>
      <c r="G691" s="16"/>
      <c r="J691" s="14"/>
    </row>
    <row r="692" spans="2:10" ht="12.75" customHeight="1" x14ac:dyDescent="0.3">
      <c r="B692" s="15"/>
      <c r="C692" s="15"/>
      <c r="G692" s="16"/>
      <c r="J692" s="14"/>
    </row>
    <row r="693" spans="2:10" ht="12.75" customHeight="1" x14ac:dyDescent="0.3">
      <c r="B693" s="15"/>
      <c r="C693" s="15"/>
      <c r="G693" s="16"/>
      <c r="J693" s="14"/>
    </row>
    <row r="694" spans="2:10" ht="12.75" customHeight="1" x14ac:dyDescent="0.3">
      <c r="B694" s="15"/>
      <c r="C694" s="15"/>
      <c r="G694" s="16"/>
      <c r="J694" s="14"/>
    </row>
    <row r="695" spans="2:10" ht="12.75" customHeight="1" x14ac:dyDescent="0.3">
      <c r="B695" s="15"/>
      <c r="C695" s="15"/>
      <c r="G695" s="16"/>
      <c r="J695" s="14"/>
    </row>
    <row r="696" spans="2:10" ht="12.75" customHeight="1" x14ac:dyDescent="0.3">
      <c r="B696" s="15"/>
      <c r="C696" s="15"/>
      <c r="G696" s="16"/>
      <c r="J696" s="14"/>
    </row>
    <row r="697" spans="2:10" ht="12.75" customHeight="1" x14ac:dyDescent="0.3">
      <c r="B697" s="15"/>
      <c r="C697" s="15"/>
      <c r="G697" s="16"/>
      <c r="J697" s="14"/>
    </row>
    <row r="698" spans="2:10" ht="12.75" customHeight="1" x14ac:dyDescent="0.3">
      <c r="B698" s="15"/>
      <c r="C698" s="15"/>
      <c r="G698" s="16"/>
      <c r="J698" s="14"/>
    </row>
    <row r="699" spans="2:10" ht="12.75" customHeight="1" x14ac:dyDescent="0.3">
      <c r="B699" s="15"/>
      <c r="C699" s="15"/>
      <c r="G699" s="16"/>
      <c r="J699" s="14"/>
    </row>
    <row r="700" spans="2:10" ht="12.75" customHeight="1" x14ac:dyDescent="0.3">
      <c r="B700" s="15"/>
      <c r="C700" s="15"/>
      <c r="G700" s="16"/>
      <c r="J700" s="14"/>
    </row>
    <row r="701" spans="2:10" ht="12.75" customHeight="1" x14ac:dyDescent="0.3">
      <c r="B701" s="15"/>
      <c r="C701" s="15"/>
      <c r="G701" s="16"/>
      <c r="J701" s="14"/>
    </row>
    <row r="702" spans="2:10" ht="12.75" customHeight="1" x14ac:dyDescent="0.3">
      <c r="B702" s="15"/>
      <c r="C702" s="15"/>
      <c r="G702" s="16"/>
      <c r="J702" s="14"/>
    </row>
    <row r="703" spans="2:10" ht="12.75" customHeight="1" x14ac:dyDescent="0.3">
      <c r="B703" s="15"/>
      <c r="C703" s="15"/>
      <c r="G703" s="16"/>
      <c r="J703" s="14"/>
    </row>
    <row r="704" spans="2:10" ht="12.75" customHeight="1" x14ac:dyDescent="0.3">
      <c r="B704" s="15"/>
      <c r="C704" s="15"/>
      <c r="G704" s="16"/>
      <c r="J704" s="14"/>
    </row>
    <row r="705" spans="2:10" ht="12.75" customHeight="1" x14ac:dyDescent="0.3">
      <c r="B705" s="15"/>
      <c r="C705" s="15"/>
      <c r="G705" s="16"/>
      <c r="J705" s="14"/>
    </row>
    <row r="706" spans="2:10" ht="12.75" customHeight="1" x14ac:dyDescent="0.3">
      <c r="B706" s="15"/>
      <c r="C706" s="15"/>
      <c r="G706" s="16"/>
      <c r="J706" s="14"/>
    </row>
    <row r="707" spans="2:10" ht="12.75" customHeight="1" x14ac:dyDescent="0.3">
      <c r="B707" s="15"/>
      <c r="C707" s="15"/>
      <c r="G707" s="16"/>
      <c r="J707" s="14"/>
    </row>
    <row r="708" spans="2:10" ht="12.75" customHeight="1" x14ac:dyDescent="0.3">
      <c r="B708" s="15"/>
      <c r="C708" s="15"/>
      <c r="G708" s="16"/>
      <c r="J708" s="14"/>
    </row>
    <row r="709" spans="2:10" ht="12.75" customHeight="1" x14ac:dyDescent="0.3">
      <c r="B709" s="15"/>
      <c r="C709" s="15"/>
      <c r="G709" s="16"/>
      <c r="J709" s="14"/>
    </row>
    <row r="710" spans="2:10" ht="12.75" customHeight="1" x14ac:dyDescent="0.3">
      <c r="B710" s="15"/>
      <c r="C710" s="15"/>
      <c r="G710" s="16"/>
      <c r="J710" s="14"/>
    </row>
    <row r="711" spans="2:10" ht="12.75" customHeight="1" x14ac:dyDescent="0.3">
      <c r="B711" s="15"/>
      <c r="C711" s="15"/>
      <c r="G711" s="16"/>
      <c r="J711" s="14"/>
    </row>
    <row r="712" spans="2:10" ht="12.75" customHeight="1" x14ac:dyDescent="0.3">
      <c r="B712" s="15"/>
      <c r="C712" s="15"/>
      <c r="G712" s="16"/>
      <c r="J712" s="14"/>
    </row>
    <row r="713" spans="2:10" ht="12.75" customHeight="1" x14ac:dyDescent="0.3">
      <c r="B713" s="15"/>
      <c r="C713" s="15"/>
      <c r="G713" s="16"/>
      <c r="J713" s="14"/>
    </row>
    <row r="714" spans="2:10" ht="12.75" customHeight="1" x14ac:dyDescent="0.3">
      <c r="B714" s="15"/>
      <c r="C714" s="15"/>
      <c r="G714" s="16"/>
      <c r="J714" s="14"/>
    </row>
    <row r="715" spans="2:10" ht="12.75" customHeight="1" x14ac:dyDescent="0.3">
      <c r="B715" s="15"/>
      <c r="C715" s="15"/>
      <c r="G715" s="16"/>
      <c r="J715" s="14"/>
    </row>
    <row r="716" spans="2:10" ht="12.75" customHeight="1" x14ac:dyDescent="0.3">
      <c r="B716" s="15"/>
      <c r="C716" s="15"/>
      <c r="G716" s="16"/>
      <c r="J716" s="14"/>
    </row>
    <row r="717" spans="2:10" ht="12.75" customHeight="1" x14ac:dyDescent="0.3">
      <c r="B717" s="15"/>
      <c r="C717" s="15"/>
      <c r="G717" s="16"/>
      <c r="J717" s="14"/>
    </row>
    <row r="718" spans="2:10" ht="12.75" customHeight="1" x14ac:dyDescent="0.3">
      <c r="B718" s="15"/>
      <c r="C718" s="15"/>
      <c r="G718" s="16"/>
      <c r="J718" s="14"/>
    </row>
    <row r="719" spans="2:10" ht="12.75" customHeight="1" x14ac:dyDescent="0.3">
      <c r="B719" s="15"/>
      <c r="C719" s="15"/>
      <c r="G719" s="16"/>
      <c r="J719" s="14"/>
    </row>
    <row r="720" spans="2:10" ht="12.75" customHeight="1" x14ac:dyDescent="0.3">
      <c r="B720" s="15"/>
      <c r="C720" s="15"/>
      <c r="G720" s="16"/>
      <c r="J720" s="14"/>
    </row>
    <row r="721" spans="2:10" ht="12.75" customHeight="1" x14ac:dyDescent="0.3">
      <c r="B721" s="15"/>
      <c r="C721" s="15"/>
      <c r="G721" s="16"/>
      <c r="J721" s="14"/>
    </row>
    <row r="722" spans="2:10" ht="12.75" customHeight="1" x14ac:dyDescent="0.3">
      <c r="B722" s="15"/>
      <c r="C722" s="15"/>
      <c r="G722" s="16"/>
      <c r="J722" s="14"/>
    </row>
    <row r="723" spans="2:10" ht="12.75" customHeight="1" x14ac:dyDescent="0.3">
      <c r="B723" s="15"/>
      <c r="C723" s="15"/>
      <c r="G723" s="16"/>
      <c r="J723" s="14"/>
    </row>
    <row r="724" spans="2:10" ht="12.75" customHeight="1" x14ac:dyDescent="0.3">
      <c r="B724" s="15"/>
      <c r="C724" s="15"/>
      <c r="G724" s="16"/>
      <c r="J724" s="14"/>
    </row>
    <row r="725" spans="2:10" ht="12.75" customHeight="1" x14ac:dyDescent="0.3">
      <c r="B725" s="15"/>
      <c r="C725" s="15"/>
      <c r="G725" s="16"/>
      <c r="J725" s="14"/>
    </row>
    <row r="726" spans="2:10" ht="12.75" customHeight="1" x14ac:dyDescent="0.3">
      <c r="B726" s="15"/>
      <c r="C726" s="15"/>
      <c r="G726" s="16"/>
      <c r="J726" s="14"/>
    </row>
    <row r="727" spans="2:10" ht="12.75" customHeight="1" x14ac:dyDescent="0.3">
      <c r="B727" s="15"/>
      <c r="C727" s="15"/>
      <c r="G727" s="16"/>
      <c r="J727" s="14"/>
    </row>
    <row r="728" spans="2:10" ht="12.75" customHeight="1" x14ac:dyDescent="0.3">
      <c r="B728" s="15"/>
      <c r="C728" s="15"/>
      <c r="G728" s="16"/>
      <c r="J728" s="14"/>
    </row>
    <row r="729" spans="2:10" ht="12.75" customHeight="1" x14ac:dyDescent="0.3">
      <c r="B729" s="15"/>
      <c r="C729" s="15"/>
      <c r="G729" s="16"/>
      <c r="J729" s="14"/>
    </row>
    <row r="730" spans="2:10" ht="12.75" customHeight="1" x14ac:dyDescent="0.3">
      <c r="B730" s="15"/>
      <c r="C730" s="15"/>
      <c r="G730" s="16"/>
      <c r="J730" s="14"/>
    </row>
    <row r="731" spans="2:10" ht="12.75" customHeight="1" x14ac:dyDescent="0.3">
      <c r="B731" s="15"/>
      <c r="C731" s="15"/>
      <c r="G731" s="16"/>
      <c r="J731" s="14"/>
    </row>
    <row r="732" spans="2:10" ht="12.75" customHeight="1" x14ac:dyDescent="0.3">
      <c r="B732" s="15"/>
      <c r="C732" s="15"/>
      <c r="G732" s="16"/>
      <c r="J732" s="14"/>
    </row>
    <row r="733" spans="2:10" ht="12.75" customHeight="1" x14ac:dyDescent="0.3">
      <c r="B733" s="15"/>
      <c r="C733" s="15"/>
      <c r="G733" s="16"/>
      <c r="J733" s="14"/>
    </row>
    <row r="734" spans="2:10" ht="12.75" customHeight="1" x14ac:dyDescent="0.3">
      <c r="B734" s="15"/>
      <c r="C734" s="15"/>
      <c r="G734" s="16"/>
      <c r="J734" s="14"/>
    </row>
    <row r="735" spans="2:10" ht="12.75" customHeight="1" x14ac:dyDescent="0.3">
      <c r="B735" s="15"/>
      <c r="C735" s="15"/>
      <c r="G735" s="16"/>
      <c r="J735" s="14"/>
    </row>
    <row r="736" spans="2:10" ht="12.75" customHeight="1" x14ac:dyDescent="0.3">
      <c r="B736" s="15"/>
      <c r="C736" s="15"/>
      <c r="G736" s="16"/>
      <c r="J736" s="14"/>
    </row>
    <row r="737" spans="2:10" ht="12.75" customHeight="1" x14ac:dyDescent="0.3">
      <c r="B737" s="15"/>
      <c r="C737" s="15"/>
      <c r="G737" s="16"/>
      <c r="J737" s="14"/>
    </row>
    <row r="738" spans="2:10" ht="12.75" customHeight="1" x14ac:dyDescent="0.3">
      <c r="B738" s="15"/>
      <c r="C738" s="15"/>
      <c r="G738" s="16"/>
      <c r="J738" s="14"/>
    </row>
    <row r="739" spans="2:10" ht="12.75" customHeight="1" x14ac:dyDescent="0.3">
      <c r="B739" s="15"/>
      <c r="C739" s="15"/>
      <c r="G739" s="16"/>
      <c r="J739" s="14"/>
    </row>
    <row r="740" spans="2:10" ht="12.75" customHeight="1" x14ac:dyDescent="0.3">
      <c r="B740" s="15"/>
      <c r="C740" s="15"/>
      <c r="G740" s="16"/>
      <c r="J740" s="14"/>
    </row>
    <row r="741" spans="2:10" ht="12.75" customHeight="1" x14ac:dyDescent="0.3">
      <c r="B741" s="15"/>
      <c r="C741" s="15"/>
      <c r="G741" s="16"/>
      <c r="J741" s="14"/>
    </row>
    <row r="742" spans="2:10" ht="12.75" customHeight="1" x14ac:dyDescent="0.3">
      <c r="B742" s="15"/>
      <c r="C742" s="15"/>
      <c r="G742" s="16"/>
      <c r="J742" s="14"/>
    </row>
    <row r="743" spans="2:10" ht="12.75" customHeight="1" x14ac:dyDescent="0.3">
      <c r="B743" s="15"/>
      <c r="C743" s="15"/>
      <c r="G743" s="16"/>
      <c r="J743" s="14"/>
    </row>
    <row r="744" spans="2:10" ht="12.75" customHeight="1" x14ac:dyDescent="0.3">
      <c r="B744" s="15"/>
      <c r="C744" s="15"/>
      <c r="G744" s="16"/>
      <c r="J744" s="14"/>
    </row>
    <row r="745" spans="2:10" ht="12.75" customHeight="1" x14ac:dyDescent="0.3">
      <c r="B745" s="15"/>
      <c r="C745" s="15"/>
      <c r="G745" s="16"/>
      <c r="J745" s="14"/>
    </row>
    <row r="746" spans="2:10" ht="12.75" customHeight="1" x14ac:dyDescent="0.3">
      <c r="B746" s="15"/>
      <c r="C746" s="15"/>
      <c r="G746" s="16"/>
      <c r="J746" s="14"/>
    </row>
    <row r="747" spans="2:10" ht="12.75" customHeight="1" x14ac:dyDescent="0.3">
      <c r="B747" s="15"/>
      <c r="C747" s="15"/>
      <c r="G747" s="16"/>
      <c r="J747" s="14"/>
    </row>
    <row r="748" spans="2:10" ht="12.75" customHeight="1" x14ac:dyDescent="0.3">
      <c r="B748" s="15"/>
      <c r="C748" s="15"/>
      <c r="G748" s="16"/>
      <c r="J748" s="14"/>
    </row>
    <row r="749" spans="2:10" ht="12.75" customHeight="1" x14ac:dyDescent="0.3">
      <c r="B749" s="15"/>
      <c r="C749" s="15"/>
      <c r="G749" s="16"/>
      <c r="J749" s="14"/>
    </row>
    <row r="750" spans="2:10" ht="12.75" customHeight="1" x14ac:dyDescent="0.3">
      <c r="B750" s="15"/>
      <c r="C750" s="15"/>
      <c r="G750" s="16"/>
      <c r="J750" s="14"/>
    </row>
    <row r="751" spans="2:10" ht="12.75" customHeight="1" x14ac:dyDescent="0.3">
      <c r="B751" s="15"/>
      <c r="C751" s="15"/>
      <c r="G751" s="16"/>
      <c r="J751" s="14"/>
    </row>
    <row r="752" spans="2:10" ht="12.75" customHeight="1" x14ac:dyDescent="0.3">
      <c r="B752" s="15"/>
      <c r="C752" s="15"/>
      <c r="G752" s="16"/>
      <c r="J752" s="14"/>
    </row>
    <row r="753" spans="2:10" ht="12.75" customHeight="1" x14ac:dyDescent="0.3">
      <c r="B753" s="15"/>
      <c r="C753" s="15"/>
      <c r="G753" s="16"/>
      <c r="J753" s="14"/>
    </row>
    <row r="754" spans="2:10" ht="12.75" customHeight="1" x14ac:dyDescent="0.3">
      <c r="B754" s="15"/>
      <c r="C754" s="15"/>
      <c r="G754" s="16"/>
      <c r="J754" s="14"/>
    </row>
    <row r="755" spans="2:10" ht="12.75" customHeight="1" x14ac:dyDescent="0.3">
      <c r="B755" s="15"/>
      <c r="C755" s="15"/>
      <c r="G755" s="16"/>
      <c r="J755" s="14"/>
    </row>
    <row r="756" spans="2:10" ht="12.75" customHeight="1" x14ac:dyDescent="0.3">
      <c r="B756" s="15"/>
      <c r="C756" s="15"/>
      <c r="G756" s="16"/>
      <c r="J756" s="14"/>
    </row>
    <row r="757" spans="2:10" ht="12.75" customHeight="1" x14ac:dyDescent="0.3">
      <c r="B757" s="15"/>
      <c r="C757" s="15"/>
      <c r="G757" s="16"/>
      <c r="J757" s="14"/>
    </row>
    <row r="758" spans="2:10" ht="12.75" customHeight="1" x14ac:dyDescent="0.3">
      <c r="B758" s="15"/>
      <c r="C758" s="15"/>
      <c r="G758" s="16"/>
      <c r="J758" s="14"/>
    </row>
    <row r="759" spans="2:10" ht="12.75" customHeight="1" x14ac:dyDescent="0.3">
      <c r="B759" s="15"/>
      <c r="C759" s="15"/>
      <c r="G759" s="16"/>
      <c r="J759" s="14"/>
    </row>
    <row r="760" spans="2:10" ht="12.75" customHeight="1" x14ac:dyDescent="0.3">
      <c r="B760" s="15"/>
      <c r="C760" s="15"/>
      <c r="G760" s="16"/>
      <c r="J760" s="14"/>
    </row>
    <row r="761" spans="2:10" ht="12.75" customHeight="1" x14ac:dyDescent="0.3">
      <c r="B761" s="15"/>
      <c r="C761" s="15"/>
      <c r="G761" s="16"/>
      <c r="J761" s="14"/>
    </row>
    <row r="762" spans="2:10" ht="12.75" customHeight="1" x14ac:dyDescent="0.3">
      <c r="B762" s="15"/>
      <c r="C762" s="15"/>
      <c r="G762" s="16"/>
      <c r="J762" s="14"/>
    </row>
    <row r="763" spans="2:10" ht="12.75" customHeight="1" x14ac:dyDescent="0.3">
      <c r="B763" s="15"/>
      <c r="C763" s="15"/>
      <c r="G763" s="16"/>
      <c r="J763" s="14"/>
    </row>
    <row r="764" spans="2:10" ht="12.75" customHeight="1" x14ac:dyDescent="0.3">
      <c r="B764" s="15"/>
      <c r="C764" s="15"/>
      <c r="G764" s="16"/>
      <c r="J764" s="14"/>
    </row>
    <row r="765" spans="2:10" ht="12.75" customHeight="1" x14ac:dyDescent="0.3">
      <c r="B765" s="15"/>
      <c r="C765" s="15"/>
      <c r="G765" s="16"/>
      <c r="J765" s="14"/>
    </row>
    <row r="766" spans="2:10" ht="12.75" customHeight="1" x14ac:dyDescent="0.3">
      <c r="B766" s="15"/>
      <c r="C766" s="15"/>
      <c r="G766" s="16"/>
      <c r="J766" s="14"/>
    </row>
    <row r="767" spans="2:10" ht="12.75" customHeight="1" x14ac:dyDescent="0.3">
      <c r="B767" s="15"/>
      <c r="C767" s="15"/>
      <c r="G767" s="16"/>
      <c r="J767" s="14"/>
    </row>
    <row r="768" spans="2:10" ht="12.75" customHeight="1" x14ac:dyDescent="0.3">
      <c r="B768" s="15"/>
      <c r="C768" s="15"/>
      <c r="G768" s="16"/>
      <c r="J768" s="14"/>
    </row>
    <row r="769" spans="2:10" ht="12.75" customHeight="1" x14ac:dyDescent="0.3">
      <c r="B769" s="15"/>
      <c r="C769" s="15"/>
      <c r="G769" s="16"/>
      <c r="J769" s="14"/>
    </row>
    <row r="770" spans="2:10" ht="12.75" customHeight="1" x14ac:dyDescent="0.3">
      <c r="B770" s="15"/>
      <c r="C770" s="15"/>
      <c r="G770" s="16"/>
      <c r="J770" s="14"/>
    </row>
    <row r="771" spans="2:10" ht="12.75" customHeight="1" x14ac:dyDescent="0.3">
      <c r="B771" s="15"/>
      <c r="C771" s="15"/>
      <c r="G771" s="16"/>
      <c r="J771" s="14"/>
    </row>
    <row r="772" spans="2:10" ht="12.75" customHeight="1" x14ac:dyDescent="0.3">
      <c r="B772" s="15"/>
      <c r="C772" s="15"/>
      <c r="G772" s="16"/>
      <c r="J772" s="14"/>
    </row>
    <row r="773" spans="2:10" ht="12.75" customHeight="1" x14ac:dyDescent="0.3">
      <c r="B773" s="15"/>
      <c r="C773" s="15"/>
      <c r="G773" s="16"/>
      <c r="J773" s="14"/>
    </row>
    <row r="774" spans="2:10" ht="12.75" customHeight="1" x14ac:dyDescent="0.3">
      <c r="B774" s="15"/>
      <c r="C774" s="15"/>
      <c r="G774" s="16"/>
      <c r="J774" s="14"/>
    </row>
    <row r="775" spans="2:10" ht="12.75" customHeight="1" x14ac:dyDescent="0.3">
      <c r="B775" s="15"/>
      <c r="C775" s="15"/>
      <c r="G775" s="16"/>
      <c r="J775" s="14"/>
    </row>
    <row r="776" spans="2:10" ht="12.75" customHeight="1" x14ac:dyDescent="0.3">
      <c r="B776" s="15"/>
      <c r="C776" s="15"/>
      <c r="G776" s="16"/>
      <c r="J776" s="14"/>
    </row>
    <row r="777" spans="2:10" ht="12.75" customHeight="1" x14ac:dyDescent="0.3">
      <c r="B777" s="15"/>
      <c r="C777" s="15"/>
      <c r="G777" s="16"/>
      <c r="J777" s="14"/>
    </row>
    <row r="778" spans="2:10" ht="12.75" customHeight="1" x14ac:dyDescent="0.3">
      <c r="B778" s="15"/>
      <c r="C778" s="15"/>
      <c r="G778" s="16"/>
      <c r="J778" s="14"/>
    </row>
    <row r="779" spans="2:10" ht="12.75" customHeight="1" x14ac:dyDescent="0.3">
      <c r="B779" s="15"/>
      <c r="C779" s="15"/>
      <c r="G779" s="16"/>
      <c r="J779" s="14"/>
    </row>
    <row r="780" spans="2:10" ht="12.75" customHeight="1" x14ac:dyDescent="0.3">
      <c r="B780" s="15"/>
      <c r="C780" s="15"/>
      <c r="G780" s="16"/>
      <c r="J780" s="14"/>
    </row>
    <row r="781" spans="2:10" ht="12.75" customHeight="1" x14ac:dyDescent="0.3">
      <c r="B781" s="15"/>
      <c r="C781" s="15"/>
      <c r="G781" s="16"/>
      <c r="J781" s="14"/>
    </row>
    <row r="782" spans="2:10" ht="12.75" customHeight="1" x14ac:dyDescent="0.3">
      <c r="B782" s="15"/>
      <c r="C782" s="15"/>
      <c r="G782" s="16"/>
      <c r="J782" s="14"/>
    </row>
    <row r="783" spans="2:10" ht="12.75" customHeight="1" x14ac:dyDescent="0.3">
      <c r="B783" s="15"/>
      <c r="C783" s="15"/>
      <c r="G783" s="16"/>
      <c r="J783" s="14"/>
    </row>
    <row r="784" spans="2:10" ht="12.75" customHeight="1" x14ac:dyDescent="0.3">
      <c r="B784" s="15"/>
      <c r="C784" s="15"/>
      <c r="G784" s="16"/>
      <c r="J784" s="14"/>
    </row>
    <row r="785" spans="2:10" ht="12.75" customHeight="1" x14ac:dyDescent="0.3">
      <c r="B785" s="15"/>
      <c r="C785" s="15"/>
      <c r="G785" s="16"/>
      <c r="J785" s="14"/>
    </row>
    <row r="786" spans="2:10" ht="12.75" customHeight="1" x14ac:dyDescent="0.3">
      <c r="B786" s="15"/>
      <c r="C786" s="15"/>
      <c r="G786" s="16"/>
      <c r="J786" s="14"/>
    </row>
    <row r="787" spans="2:10" ht="12.75" customHeight="1" x14ac:dyDescent="0.3">
      <c r="B787" s="15"/>
      <c r="C787" s="15"/>
      <c r="G787" s="16"/>
      <c r="J787" s="14"/>
    </row>
    <row r="788" spans="2:10" ht="12.75" customHeight="1" x14ac:dyDescent="0.3">
      <c r="B788" s="15"/>
      <c r="C788" s="15"/>
      <c r="G788" s="16"/>
      <c r="J788" s="14"/>
    </row>
    <row r="789" spans="2:10" ht="12.75" customHeight="1" x14ac:dyDescent="0.3">
      <c r="B789" s="15"/>
      <c r="C789" s="15"/>
      <c r="G789" s="16"/>
      <c r="J789" s="14"/>
    </row>
    <row r="790" spans="2:10" ht="12.75" customHeight="1" x14ac:dyDescent="0.3">
      <c r="B790" s="15"/>
      <c r="C790" s="15"/>
      <c r="G790" s="16"/>
      <c r="J790" s="14"/>
    </row>
    <row r="791" spans="2:10" ht="12.75" customHeight="1" x14ac:dyDescent="0.3">
      <c r="B791" s="15"/>
      <c r="C791" s="15"/>
      <c r="G791" s="16"/>
      <c r="J791" s="14"/>
    </row>
    <row r="792" spans="2:10" ht="12.75" customHeight="1" x14ac:dyDescent="0.3">
      <c r="B792" s="15"/>
      <c r="C792" s="15"/>
      <c r="G792" s="16"/>
      <c r="J792" s="14"/>
    </row>
    <row r="793" spans="2:10" ht="12.75" customHeight="1" x14ac:dyDescent="0.3">
      <c r="B793" s="15"/>
      <c r="C793" s="15"/>
      <c r="G793" s="16"/>
      <c r="J793" s="14"/>
    </row>
    <row r="794" spans="2:10" ht="12.75" customHeight="1" x14ac:dyDescent="0.3">
      <c r="B794" s="15"/>
      <c r="C794" s="15"/>
      <c r="G794" s="16"/>
      <c r="J794" s="14"/>
    </row>
    <row r="795" spans="2:10" ht="12.75" customHeight="1" x14ac:dyDescent="0.3">
      <c r="B795" s="15"/>
      <c r="C795" s="15"/>
      <c r="G795" s="16"/>
      <c r="J795" s="14"/>
    </row>
    <row r="796" spans="2:10" ht="12.75" customHeight="1" x14ac:dyDescent="0.3">
      <c r="B796" s="15"/>
      <c r="C796" s="15"/>
      <c r="G796" s="16"/>
      <c r="J796" s="14"/>
    </row>
    <row r="797" spans="2:10" ht="12.75" customHeight="1" x14ac:dyDescent="0.3">
      <c r="B797" s="15"/>
      <c r="C797" s="15"/>
      <c r="G797" s="16"/>
      <c r="J797" s="14"/>
    </row>
    <row r="798" spans="2:10" ht="12.75" customHeight="1" x14ac:dyDescent="0.3">
      <c r="B798" s="15"/>
      <c r="C798" s="15"/>
      <c r="G798" s="16"/>
      <c r="J798" s="14"/>
    </row>
    <row r="799" spans="2:10" ht="12.75" customHeight="1" x14ac:dyDescent="0.3">
      <c r="B799" s="15"/>
      <c r="C799" s="15"/>
      <c r="G799" s="16"/>
      <c r="J799" s="14"/>
    </row>
    <row r="800" spans="2:10" ht="12.75" customHeight="1" x14ac:dyDescent="0.3">
      <c r="B800" s="15"/>
      <c r="C800" s="15"/>
      <c r="G800" s="16"/>
      <c r="J800" s="14"/>
    </row>
    <row r="801" spans="2:10" ht="12.75" customHeight="1" x14ac:dyDescent="0.3">
      <c r="B801" s="15"/>
      <c r="C801" s="15"/>
      <c r="G801" s="16"/>
      <c r="J801" s="14"/>
    </row>
    <row r="802" spans="2:10" ht="12.75" customHeight="1" x14ac:dyDescent="0.3">
      <c r="B802" s="15"/>
      <c r="C802" s="15"/>
      <c r="G802" s="16"/>
      <c r="J802" s="14"/>
    </row>
    <row r="803" spans="2:10" ht="12.75" customHeight="1" x14ac:dyDescent="0.3">
      <c r="B803" s="15"/>
      <c r="C803" s="15"/>
      <c r="G803" s="16"/>
      <c r="J803" s="14"/>
    </row>
    <row r="804" spans="2:10" ht="12.75" customHeight="1" x14ac:dyDescent="0.3">
      <c r="B804" s="15"/>
      <c r="C804" s="15"/>
      <c r="G804" s="16"/>
      <c r="J804" s="14"/>
    </row>
    <row r="805" spans="2:10" ht="12.75" customHeight="1" x14ac:dyDescent="0.3">
      <c r="B805" s="15"/>
      <c r="C805" s="15"/>
      <c r="G805" s="16"/>
      <c r="J805" s="14"/>
    </row>
    <row r="806" spans="2:10" ht="12.75" customHeight="1" x14ac:dyDescent="0.3">
      <c r="B806" s="15"/>
      <c r="C806" s="15"/>
      <c r="G806" s="16"/>
      <c r="J806" s="14"/>
    </row>
    <row r="807" spans="2:10" ht="12.75" customHeight="1" x14ac:dyDescent="0.3">
      <c r="B807" s="15"/>
      <c r="C807" s="15"/>
      <c r="G807" s="16"/>
      <c r="J807" s="14"/>
    </row>
    <row r="808" spans="2:10" ht="12.75" customHeight="1" x14ac:dyDescent="0.3">
      <c r="B808" s="15"/>
      <c r="C808" s="15"/>
      <c r="G808" s="16"/>
      <c r="J808" s="14"/>
    </row>
    <row r="809" spans="2:10" ht="12.75" customHeight="1" x14ac:dyDescent="0.3">
      <c r="B809" s="15"/>
      <c r="C809" s="15"/>
      <c r="G809" s="16"/>
      <c r="J809" s="14"/>
    </row>
    <row r="810" spans="2:10" ht="12.75" customHeight="1" x14ac:dyDescent="0.3">
      <c r="B810" s="15"/>
      <c r="C810" s="15"/>
      <c r="G810" s="16"/>
      <c r="J810" s="14"/>
    </row>
    <row r="811" spans="2:10" ht="12.75" customHeight="1" x14ac:dyDescent="0.3">
      <c r="B811" s="15"/>
      <c r="C811" s="15"/>
      <c r="G811" s="16"/>
      <c r="J811" s="14"/>
    </row>
    <row r="812" spans="2:10" ht="12.75" customHeight="1" x14ac:dyDescent="0.3">
      <c r="B812" s="15"/>
      <c r="C812" s="15"/>
      <c r="G812" s="16"/>
      <c r="J812" s="14"/>
    </row>
    <row r="813" spans="2:10" ht="12.75" customHeight="1" x14ac:dyDescent="0.3">
      <c r="B813" s="15"/>
      <c r="C813" s="15"/>
      <c r="G813" s="16"/>
      <c r="J813" s="14"/>
    </row>
    <row r="814" spans="2:10" ht="12.75" customHeight="1" x14ac:dyDescent="0.3">
      <c r="B814" s="15"/>
      <c r="C814" s="15"/>
      <c r="G814" s="16"/>
      <c r="J814" s="14"/>
    </row>
    <row r="815" spans="2:10" ht="12.75" customHeight="1" x14ac:dyDescent="0.3">
      <c r="B815" s="15"/>
      <c r="C815" s="15"/>
      <c r="G815" s="16"/>
      <c r="J815" s="14"/>
    </row>
    <row r="816" spans="2:10" ht="12.75" customHeight="1" x14ac:dyDescent="0.3">
      <c r="B816" s="15"/>
      <c r="C816" s="15"/>
      <c r="G816" s="16"/>
      <c r="J816" s="14"/>
    </row>
    <row r="817" spans="2:10" ht="12.75" customHeight="1" x14ac:dyDescent="0.3">
      <c r="B817" s="15"/>
      <c r="C817" s="15"/>
      <c r="G817" s="16"/>
      <c r="J817" s="14"/>
    </row>
    <row r="818" spans="2:10" ht="12.75" customHeight="1" x14ac:dyDescent="0.3">
      <c r="B818" s="15"/>
      <c r="C818" s="15"/>
      <c r="G818" s="16"/>
      <c r="J818" s="14"/>
    </row>
    <row r="819" spans="2:10" ht="12.75" customHeight="1" x14ac:dyDescent="0.3">
      <c r="B819" s="15"/>
      <c r="C819" s="15"/>
      <c r="G819" s="16"/>
      <c r="J819" s="14"/>
    </row>
    <row r="820" spans="2:10" ht="12.75" customHeight="1" x14ac:dyDescent="0.3">
      <c r="B820" s="15"/>
      <c r="C820" s="15"/>
      <c r="G820" s="16"/>
      <c r="J820" s="14"/>
    </row>
    <row r="821" spans="2:10" ht="12.75" customHeight="1" x14ac:dyDescent="0.3">
      <c r="B821" s="15"/>
      <c r="C821" s="15"/>
      <c r="G821" s="16"/>
      <c r="J821" s="14"/>
    </row>
    <row r="822" spans="2:10" ht="12.75" customHeight="1" x14ac:dyDescent="0.3">
      <c r="B822" s="15"/>
      <c r="C822" s="15"/>
      <c r="G822" s="16"/>
      <c r="J822" s="14"/>
    </row>
    <row r="823" spans="2:10" ht="12.75" customHeight="1" x14ac:dyDescent="0.3">
      <c r="B823" s="15"/>
      <c r="C823" s="15"/>
      <c r="G823" s="16"/>
      <c r="J823" s="14"/>
    </row>
    <row r="824" spans="2:10" ht="12.75" customHeight="1" x14ac:dyDescent="0.3">
      <c r="B824" s="15"/>
      <c r="C824" s="15"/>
      <c r="G824" s="16"/>
      <c r="J824" s="14"/>
    </row>
    <row r="825" spans="2:10" ht="12.75" customHeight="1" x14ac:dyDescent="0.3">
      <c r="B825" s="15"/>
      <c r="C825" s="15"/>
      <c r="G825" s="16"/>
      <c r="J825" s="14"/>
    </row>
    <row r="826" spans="2:10" ht="12.75" customHeight="1" x14ac:dyDescent="0.3">
      <c r="B826" s="15"/>
      <c r="C826" s="15"/>
      <c r="G826" s="16"/>
      <c r="J826" s="14"/>
    </row>
    <row r="827" spans="2:10" ht="12.75" customHeight="1" x14ac:dyDescent="0.3">
      <c r="B827" s="15"/>
      <c r="C827" s="15"/>
      <c r="G827" s="16"/>
      <c r="J827" s="14"/>
    </row>
    <row r="828" spans="2:10" ht="12.75" customHeight="1" x14ac:dyDescent="0.3">
      <c r="B828" s="15"/>
      <c r="C828" s="15"/>
      <c r="G828" s="16"/>
      <c r="J828" s="14"/>
    </row>
    <row r="829" spans="2:10" ht="12.75" customHeight="1" x14ac:dyDescent="0.3">
      <c r="B829" s="15"/>
      <c r="C829" s="15"/>
      <c r="G829" s="16"/>
      <c r="J829" s="14"/>
    </row>
    <row r="830" spans="2:10" ht="12.75" customHeight="1" x14ac:dyDescent="0.3">
      <c r="B830" s="15"/>
      <c r="C830" s="15"/>
      <c r="G830" s="16"/>
      <c r="J830" s="14"/>
    </row>
    <row r="831" spans="2:10" ht="12.75" customHeight="1" x14ac:dyDescent="0.3">
      <c r="B831" s="15"/>
      <c r="C831" s="15"/>
      <c r="G831" s="16"/>
      <c r="J831" s="14"/>
    </row>
    <row r="832" spans="2:10" ht="12.75" customHeight="1" x14ac:dyDescent="0.3">
      <c r="B832" s="15"/>
      <c r="C832" s="15"/>
      <c r="G832" s="16"/>
      <c r="J832" s="14"/>
    </row>
    <row r="833" spans="2:10" ht="12.75" customHeight="1" x14ac:dyDescent="0.3">
      <c r="B833" s="15"/>
      <c r="C833" s="15"/>
      <c r="G833" s="16"/>
      <c r="J833" s="14"/>
    </row>
    <row r="834" spans="2:10" ht="12.75" customHeight="1" x14ac:dyDescent="0.3">
      <c r="B834" s="15"/>
      <c r="C834" s="15"/>
      <c r="G834" s="16"/>
      <c r="J834" s="14"/>
    </row>
    <row r="835" spans="2:10" ht="12.75" customHeight="1" x14ac:dyDescent="0.3">
      <c r="B835" s="15"/>
      <c r="C835" s="15"/>
      <c r="G835" s="16"/>
      <c r="J835" s="14"/>
    </row>
    <row r="836" spans="2:10" ht="12.75" customHeight="1" x14ac:dyDescent="0.3">
      <c r="B836" s="15"/>
      <c r="C836" s="15"/>
      <c r="G836" s="16"/>
      <c r="J836" s="14"/>
    </row>
    <row r="837" spans="2:10" ht="12.75" customHeight="1" x14ac:dyDescent="0.3">
      <c r="B837" s="15"/>
      <c r="C837" s="15"/>
      <c r="G837" s="16"/>
      <c r="J837" s="14"/>
    </row>
    <row r="838" spans="2:10" ht="12.75" customHeight="1" x14ac:dyDescent="0.3">
      <c r="B838" s="15"/>
      <c r="C838" s="15"/>
      <c r="G838" s="16"/>
      <c r="J838" s="14"/>
    </row>
    <row r="839" spans="2:10" ht="12.75" customHeight="1" x14ac:dyDescent="0.3">
      <c r="B839" s="15"/>
      <c r="C839" s="15"/>
      <c r="G839" s="16"/>
      <c r="J839" s="14"/>
    </row>
    <row r="840" spans="2:10" ht="12.75" customHeight="1" x14ac:dyDescent="0.3">
      <c r="B840" s="15"/>
      <c r="C840" s="15"/>
      <c r="G840" s="16"/>
      <c r="J840" s="14"/>
    </row>
    <row r="841" spans="2:10" ht="12.75" customHeight="1" x14ac:dyDescent="0.3">
      <c r="B841" s="15"/>
      <c r="C841" s="15"/>
      <c r="G841" s="16"/>
      <c r="J841" s="14"/>
    </row>
    <row r="842" spans="2:10" ht="12.75" customHeight="1" x14ac:dyDescent="0.3">
      <c r="B842" s="15"/>
      <c r="C842" s="15"/>
      <c r="G842" s="16"/>
      <c r="J842" s="14"/>
    </row>
    <row r="843" spans="2:10" ht="12.75" customHeight="1" x14ac:dyDescent="0.3">
      <c r="B843" s="15"/>
      <c r="C843" s="15"/>
      <c r="G843" s="16"/>
      <c r="J843" s="14"/>
    </row>
    <row r="844" spans="2:10" ht="12.75" customHeight="1" x14ac:dyDescent="0.3">
      <c r="B844" s="15"/>
      <c r="C844" s="15"/>
      <c r="G844" s="16"/>
      <c r="J844" s="14"/>
    </row>
    <row r="845" spans="2:10" ht="12.75" customHeight="1" x14ac:dyDescent="0.3">
      <c r="B845" s="15"/>
      <c r="C845" s="15"/>
      <c r="G845" s="16"/>
      <c r="J845" s="14"/>
    </row>
    <row r="846" spans="2:10" ht="12.75" customHeight="1" x14ac:dyDescent="0.3">
      <c r="B846" s="15"/>
      <c r="C846" s="15"/>
      <c r="G846" s="16"/>
      <c r="J846" s="14"/>
    </row>
    <row r="847" spans="2:10" ht="12.75" customHeight="1" x14ac:dyDescent="0.3">
      <c r="B847" s="15"/>
      <c r="C847" s="15"/>
      <c r="G847" s="16"/>
      <c r="J847" s="14"/>
    </row>
    <row r="848" spans="2:10" ht="12.75" customHeight="1" x14ac:dyDescent="0.3">
      <c r="B848" s="15"/>
      <c r="C848" s="15"/>
      <c r="G848" s="16"/>
      <c r="J848" s="14"/>
    </row>
    <row r="849" spans="2:10" ht="12.75" customHeight="1" x14ac:dyDescent="0.3">
      <c r="B849" s="15"/>
      <c r="C849" s="15"/>
      <c r="G849" s="16"/>
      <c r="J849" s="14"/>
    </row>
    <row r="850" spans="2:10" ht="12.75" customHeight="1" x14ac:dyDescent="0.3">
      <c r="B850" s="15"/>
      <c r="C850" s="15"/>
      <c r="G850" s="16"/>
      <c r="J850" s="14"/>
    </row>
    <row r="851" spans="2:10" ht="12.75" customHeight="1" x14ac:dyDescent="0.3">
      <c r="B851" s="15"/>
      <c r="C851" s="15"/>
      <c r="G851" s="16"/>
      <c r="J851" s="14"/>
    </row>
    <row r="852" spans="2:10" ht="12.75" customHeight="1" x14ac:dyDescent="0.3">
      <c r="B852" s="15"/>
      <c r="C852" s="15"/>
      <c r="G852" s="16"/>
      <c r="J852" s="14"/>
    </row>
    <row r="853" spans="2:10" ht="12.75" customHeight="1" x14ac:dyDescent="0.3">
      <c r="B853" s="15"/>
      <c r="C853" s="15"/>
      <c r="G853" s="16"/>
      <c r="J853" s="14"/>
    </row>
    <row r="854" spans="2:10" ht="12.75" customHeight="1" x14ac:dyDescent="0.3">
      <c r="B854" s="15"/>
      <c r="C854" s="15"/>
      <c r="G854" s="16"/>
      <c r="J854" s="14"/>
    </row>
    <row r="855" spans="2:10" ht="12.75" customHeight="1" x14ac:dyDescent="0.3">
      <c r="B855" s="15"/>
      <c r="C855" s="15"/>
      <c r="G855" s="16"/>
      <c r="J855" s="14"/>
    </row>
    <row r="856" spans="2:10" ht="12.75" customHeight="1" x14ac:dyDescent="0.3">
      <c r="B856" s="15"/>
      <c r="C856" s="15"/>
      <c r="G856" s="16"/>
      <c r="J856" s="14"/>
    </row>
    <row r="857" spans="2:10" ht="12.75" customHeight="1" x14ac:dyDescent="0.3">
      <c r="B857" s="15"/>
      <c r="C857" s="15"/>
      <c r="G857" s="16"/>
      <c r="J857" s="14"/>
    </row>
    <row r="858" spans="2:10" ht="12.75" customHeight="1" x14ac:dyDescent="0.3">
      <c r="B858" s="15"/>
      <c r="C858" s="15"/>
      <c r="G858" s="16"/>
      <c r="J858" s="14"/>
    </row>
    <row r="859" spans="2:10" ht="12.75" customHeight="1" x14ac:dyDescent="0.3">
      <c r="B859" s="15"/>
      <c r="C859" s="15"/>
      <c r="G859" s="16"/>
      <c r="J859" s="14"/>
    </row>
    <row r="860" spans="2:10" ht="12.75" customHeight="1" x14ac:dyDescent="0.3">
      <c r="B860" s="15"/>
      <c r="C860" s="15"/>
      <c r="G860" s="16"/>
      <c r="J860" s="14"/>
    </row>
    <row r="861" spans="2:10" ht="12.75" customHeight="1" x14ac:dyDescent="0.3">
      <c r="B861" s="15"/>
      <c r="C861" s="15"/>
      <c r="G861" s="16"/>
      <c r="J861" s="14"/>
    </row>
    <row r="862" spans="2:10" ht="12.75" customHeight="1" x14ac:dyDescent="0.3">
      <c r="B862" s="15"/>
      <c r="C862" s="15"/>
      <c r="G862" s="16"/>
      <c r="J862" s="14"/>
    </row>
    <row r="863" spans="2:10" ht="12.75" customHeight="1" x14ac:dyDescent="0.3">
      <c r="B863" s="15"/>
      <c r="C863" s="15"/>
      <c r="G863" s="16"/>
      <c r="J863" s="14"/>
    </row>
    <row r="864" spans="2:10" ht="12.75" customHeight="1" x14ac:dyDescent="0.3">
      <c r="B864" s="15"/>
      <c r="C864" s="15"/>
      <c r="G864" s="16"/>
      <c r="J864" s="14"/>
    </row>
    <row r="865" spans="2:10" ht="12.75" customHeight="1" x14ac:dyDescent="0.3">
      <c r="B865" s="15"/>
      <c r="C865" s="15"/>
      <c r="G865" s="16"/>
      <c r="J865" s="14"/>
    </row>
    <row r="866" spans="2:10" ht="12.75" customHeight="1" x14ac:dyDescent="0.3">
      <c r="B866" s="15"/>
      <c r="C866" s="15"/>
      <c r="G866" s="16"/>
      <c r="J866" s="14"/>
    </row>
    <row r="867" spans="2:10" ht="12.75" customHeight="1" x14ac:dyDescent="0.3">
      <c r="B867" s="15"/>
      <c r="C867" s="15"/>
      <c r="G867" s="16"/>
      <c r="J867" s="14"/>
    </row>
    <row r="868" spans="2:10" ht="12.75" customHeight="1" x14ac:dyDescent="0.3">
      <c r="B868" s="15"/>
      <c r="C868" s="15"/>
      <c r="G868" s="16"/>
      <c r="J868" s="14"/>
    </row>
    <row r="869" spans="2:10" ht="12.75" customHeight="1" x14ac:dyDescent="0.3">
      <c r="B869" s="15"/>
      <c r="C869" s="15"/>
      <c r="G869" s="16"/>
      <c r="J869" s="14"/>
    </row>
    <row r="870" spans="2:10" ht="12.75" customHeight="1" x14ac:dyDescent="0.3">
      <c r="B870" s="15"/>
      <c r="C870" s="15"/>
      <c r="G870" s="16"/>
      <c r="J870" s="14"/>
    </row>
    <row r="871" spans="2:10" ht="12.75" customHeight="1" x14ac:dyDescent="0.3">
      <c r="B871" s="15"/>
      <c r="C871" s="15"/>
      <c r="G871" s="16"/>
      <c r="J871" s="14"/>
    </row>
    <row r="872" spans="2:10" ht="12.75" customHeight="1" x14ac:dyDescent="0.3">
      <c r="B872" s="15"/>
      <c r="C872" s="15"/>
      <c r="G872" s="16"/>
      <c r="J872" s="14"/>
    </row>
    <row r="873" spans="2:10" ht="12.75" customHeight="1" x14ac:dyDescent="0.3">
      <c r="B873" s="15"/>
      <c r="C873" s="15"/>
      <c r="G873" s="16"/>
      <c r="J873" s="14"/>
    </row>
    <row r="874" spans="2:10" ht="12.75" customHeight="1" x14ac:dyDescent="0.3">
      <c r="B874" s="15"/>
      <c r="C874" s="15"/>
      <c r="G874" s="16"/>
      <c r="J874" s="14"/>
    </row>
    <row r="875" spans="2:10" ht="12.75" customHeight="1" x14ac:dyDescent="0.3">
      <c r="B875" s="15"/>
      <c r="C875" s="15"/>
      <c r="G875" s="16"/>
      <c r="J875" s="14"/>
    </row>
    <row r="876" spans="2:10" ht="12.75" customHeight="1" x14ac:dyDescent="0.3">
      <c r="B876" s="15"/>
      <c r="C876" s="15"/>
      <c r="G876" s="16"/>
      <c r="J876" s="14"/>
    </row>
    <row r="877" spans="2:10" ht="12.75" customHeight="1" x14ac:dyDescent="0.3">
      <c r="B877" s="15"/>
      <c r="C877" s="15"/>
      <c r="G877" s="16"/>
      <c r="J877" s="14"/>
    </row>
    <row r="878" spans="2:10" ht="12.75" customHeight="1" x14ac:dyDescent="0.3">
      <c r="B878" s="15"/>
      <c r="C878" s="15"/>
      <c r="G878" s="16"/>
      <c r="J878" s="14"/>
    </row>
    <row r="879" spans="2:10" ht="12.75" customHeight="1" x14ac:dyDescent="0.3">
      <c r="B879" s="15"/>
      <c r="C879" s="15"/>
      <c r="G879" s="16"/>
      <c r="J879" s="14"/>
    </row>
    <row r="880" spans="2:10" ht="12.75" customHeight="1" x14ac:dyDescent="0.3">
      <c r="B880" s="15"/>
      <c r="C880" s="15"/>
      <c r="G880" s="16"/>
      <c r="J880" s="14"/>
    </row>
    <row r="881" spans="2:10" ht="12.75" customHeight="1" x14ac:dyDescent="0.3">
      <c r="B881" s="15"/>
      <c r="C881" s="15"/>
      <c r="G881" s="16"/>
      <c r="J881" s="14"/>
    </row>
    <row r="882" spans="2:10" ht="12.75" customHeight="1" x14ac:dyDescent="0.3">
      <c r="B882" s="15"/>
      <c r="C882" s="15"/>
      <c r="G882" s="16"/>
      <c r="J882" s="14"/>
    </row>
    <row r="883" spans="2:10" ht="12.75" customHeight="1" x14ac:dyDescent="0.3">
      <c r="B883" s="15"/>
      <c r="C883" s="15"/>
      <c r="G883" s="16"/>
      <c r="J883" s="14"/>
    </row>
    <row r="884" spans="2:10" ht="12.75" customHeight="1" x14ac:dyDescent="0.3">
      <c r="B884" s="15"/>
      <c r="C884" s="15"/>
      <c r="G884" s="16"/>
      <c r="J884" s="14"/>
    </row>
    <row r="885" spans="2:10" ht="12.75" customHeight="1" x14ac:dyDescent="0.3">
      <c r="B885" s="15"/>
      <c r="C885" s="15"/>
      <c r="G885" s="16"/>
      <c r="J885" s="14"/>
    </row>
    <row r="886" spans="2:10" ht="12.75" customHeight="1" x14ac:dyDescent="0.3">
      <c r="B886" s="15"/>
      <c r="C886" s="15"/>
      <c r="G886" s="16"/>
      <c r="J886" s="14"/>
    </row>
    <row r="887" spans="2:10" ht="12.75" customHeight="1" x14ac:dyDescent="0.3">
      <c r="B887" s="15"/>
      <c r="C887" s="15"/>
      <c r="G887" s="16"/>
      <c r="J887" s="14"/>
    </row>
    <row r="888" spans="2:10" ht="12.75" customHeight="1" x14ac:dyDescent="0.3">
      <c r="B888" s="15"/>
      <c r="C888" s="15"/>
      <c r="G888" s="16"/>
      <c r="J888" s="14"/>
    </row>
    <row r="889" spans="2:10" ht="12.75" customHeight="1" x14ac:dyDescent="0.3">
      <c r="B889" s="15"/>
      <c r="C889" s="15"/>
      <c r="G889" s="16"/>
      <c r="J889" s="14"/>
    </row>
    <row r="890" spans="2:10" ht="12.75" customHeight="1" x14ac:dyDescent="0.3">
      <c r="B890" s="15"/>
      <c r="C890" s="15"/>
      <c r="G890" s="16"/>
      <c r="J890" s="14"/>
    </row>
    <row r="891" spans="2:10" ht="12.75" customHeight="1" x14ac:dyDescent="0.3">
      <c r="B891" s="15"/>
      <c r="C891" s="15"/>
      <c r="G891" s="16"/>
      <c r="J891" s="14"/>
    </row>
    <row r="892" spans="2:10" ht="12.75" customHeight="1" x14ac:dyDescent="0.3">
      <c r="B892" s="15"/>
      <c r="C892" s="15"/>
      <c r="G892" s="16"/>
      <c r="J892" s="14"/>
    </row>
    <row r="893" spans="2:10" ht="12.75" customHeight="1" x14ac:dyDescent="0.3">
      <c r="B893" s="15"/>
      <c r="C893" s="15"/>
      <c r="G893" s="16"/>
      <c r="J893" s="14"/>
    </row>
    <row r="894" spans="2:10" ht="12.75" customHeight="1" x14ac:dyDescent="0.3">
      <c r="B894" s="15"/>
      <c r="C894" s="15"/>
      <c r="G894" s="16"/>
      <c r="J894" s="14"/>
    </row>
    <row r="895" spans="2:10" ht="12.75" customHeight="1" x14ac:dyDescent="0.3">
      <c r="B895" s="15"/>
      <c r="C895" s="15"/>
      <c r="G895" s="16"/>
      <c r="J895" s="14"/>
    </row>
    <row r="896" spans="2:10" ht="12.75" customHeight="1" x14ac:dyDescent="0.3">
      <c r="B896" s="15"/>
      <c r="C896" s="15"/>
      <c r="G896" s="16"/>
      <c r="J896" s="14"/>
    </row>
    <row r="897" spans="2:10" ht="12.75" customHeight="1" x14ac:dyDescent="0.3">
      <c r="B897" s="15"/>
      <c r="C897" s="15"/>
      <c r="G897" s="16"/>
      <c r="J897" s="14"/>
    </row>
    <row r="898" spans="2:10" ht="12.75" customHeight="1" x14ac:dyDescent="0.3">
      <c r="B898" s="15"/>
      <c r="C898" s="15"/>
      <c r="G898" s="16"/>
      <c r="J898" s="14"/>
    </row>
    <row r="899" spans="2:10" ht="12.75" customHeight="1" x14ac:dyDescent="0.3">
      <c r="B899" s="15"/>
      <c r="C899" s="15"/>
      <c r="G899" s="16"/>
      <c r="J899" s="14"/>
    </row>
    <row r="900" spans="2:10" ht="12.75" customHeight="1" x14ac:dyDescent="0.3">
      <c r="B900" s="15"/>
      <c r="C900" s="15"/>
      <c r="G900" s="16"/>
      <c r="J900" s="14"/>
    </row>
    <row r="901" spans="2:10" ht="12.75" customHeight="1" x14ac:dyDescent="0.3">
      <c r="B901" s="15"/>
      <c r="C901" s="15"/>
      <c r="G901" s="16"/>
      <c r="J901" s="14"/>
    </row>
    <row r="902" spans="2:10" ht="12.75" customHeight="1" x14ac:dyDescent="0.3">
      <c r="B902" s="15"/>
      <c r="C902" s="15"/>
      <c r="G902" s="16"/>
      <c r="J902" s="14"/>
    </row>
    <row r="903" spans="2:10" ht="12.75" customHeight="1" x14ac:dyDescent="0.3">
      <c r="B903" s="15"/>
      <c r="C903" s="15"/>
      <c r="G903" s="16"/>
      <c r="J903" s="14"/>
    </row>
    <row r="904" spans="2:10" ht="12.75" customHeight="1" x14ac:dyDescent="0.3">
      <c r="B904" s="15"/>
      <c r="C904" s="15"/>
      <c r="G904" s="16"/>
      <c r="J904" s="14"/>
    </row>
    <row r="905" spans="2:10" ht="12.75" customHeight="1" x14ac:dyDescent="0.3">
      <c r="B905" s="15"/>
      <c r="C905" s="15"/>
      <c r="G905" s="16"/>
      <c r="J905" s="14"/>
    </row>
    <row r="906" spans="2:10" ht="12.75" customHeight="1" x14ac:dyDescent="0.3">
      <c r="B906" s="15"/>
      <c r="C906" s="15"/>
      <c r="G906" s="16"/>
      <c r="J906" s="14"/>
    </row>
    <row r="907" spans="2:10" ht="12.75" customHeight="1" x14ac:dyDescent="0.3">
      <c r="B907" s="15"/>
      <c r="C907" s="15"/>
      <c r="G907" s="16"/>
      <c r="J907" s="14"/>
    </row>
    <row r="908" spans="2:10" ht="12.75" customHeight="1" x14ac:dyDescent="0.3">
      <c r="B908" s="15"/>
      <c r="C908" s="15"/>
      <c r="G908" s="16"/>
      <c r="J908" s="14"/>
    </row>
    <row r="909" spans="2:10" ht="12.75" customHeight="1" x14ac:dyDescent="0.3">
      <c r="B909" s="15"/>
      <c r="C909" s="15"/>
      <c r="G909" s="16"/>
      <c r="J909" s="14"/>
    </row>
    <row r="910" spans="2:10" ht="12.75" customHeight="1" x14ac:dyDescent="0.3">
      <c r="B910" s="15"/>
      <c r="C910" s="15"/>
      <c r="G910" s="16"/>
      <c r="J910" s="14"/>
    </row>
    <row r="911" spans="2:10" ht="12.75" customHeight="1" x14ac:dyDescent="0.3">
      <c r="B911" s="15"/>
      <c r="C911" s="15"/>
      <c r="G911" s="16"/>
      <c r="J911" s="14"/>
    </row>
    <row r="912" spans="2:10" ht="12.75" customHeight="1" x14ac:dyDescent="0.3">
      <c r="B912" s="15"/>
      <c r="C912" s="15"/>
      <c r="G912" s="16"/>
      <c r="J912" s="14"/>
    </row>
    <row r="913" spans="2:10" ht="12.75" customHeight="1" x14ac:dyDescent="0.3">
      <c r="B913" s="15"/>
      <c r="C913" s="15"/>
      <c r="G913" s="16"/>
      <c r="J913" s="14"/>
    </row>
    <row r="914" spans="2:10" ht="12.75" customHeight="1" x14ac:dyDescent="0.3">
      <c r="B914" s="15"/>
      <c r="C914" s="15"/>
      <c r="G914" s="16"/>
      <c r="J914" s="14"/>
    </row>
    <row r="915" spans="2:10" ht="12.75" customHeight="1" x14ac:dyDescent="0.3">
      <c r="B915" s="15"/>
      <c r="C915" s="15"/>
      <c r="G915" s="16"/>
      <c r="J915" s="14"/>
    </row>
    <row r="916" spans="2:10" ht="12.75" customHeight="1" x14ac:dyDescent="0.3">
      <c r="B916" s="15"/>
      <c r="C916" s="15"/>
      <c r="G916" s="16"/>
      <c r="J916" s="14"/>
    </row>
    <row r="917" spans="2:10" ht="12.75" customHeight="1" x14ac:dyDescent="0.3">
      <c r="B917" s="15"/>
      <c r="C917" s="15"/>
      <c r="G917" s="16"/>
      <c r="J917" s="14"/>
    </row>
    <row r="918" spans="2:10" ht="12.75" customHeight="1" x14ac:dyDescent="0.3">
      <c r="B918" s="15"/>
      <c r="C918" s="15"/>
      <c r="G918" s="16"/>
      <c r="J918" s="14"/>
    </row>
    <row r="919" spans="2:10" ht="12.75" customHeight="1" x14ac:dyDescent="0.3">
      <c r="B919" s="15"/>
      <c r="C919" s="15"/>
      <c r="G919" s="16"/>
      <c r="J919" s="14"/>
    </row>
    <row r="920" spans="2:10" ht="12.75" customHeight="1" x14ac:dyDescent="0.3">
      <c r="B920" s="15"/>
      <c r="C920" s="15"/>
      <c r="G920" s="16"/>
      <c r="J920" s="14"/>
    </row>
    <row r="921" spans="2:10" ht="12.75" customHeight="1" x14ac:dyDescent="0.3">
      <c r="B921" s="15"/>
      <c r="C921" s="15"/>
      <c r="G921" s="16"/>
      <c r="J921" s="14"/>
    </row>
    <row r="922" spans="2:10" ht="12.75" customHeight="1" x14ac:dyDescent="0.3">
      <c r="B922" s="15"/>
      <c r="C922" s="15"/>
      <c r="G922" s="16"/>
      <c r="J922" s="14"/>
    </row>
    <row r="923" spans="2:10" ht="12.75" customHeight="1" x14ac:dyDescent="0.3">
      <c r="B923" s="15"/>
      <c r="C923" s="15"/>
      <c r="G923" s="16"/>
      <c r="J923" s="14"/>
    </row>
    <row r="924" spans="2:10" ht="12.75" customHeight="1" x14ac:dyDescent="0.3">
      <c r="B924" s="15"/>
      <c r="C924" s="15"/>
      <c r="G924" s="16"/>
      <c r="J924" s="14"/>
    </row>
    <row r="925" spans="2:10" ht="12.75" customHeight="1" x14ac:dyDescent="0.3">
      <c r="B925" s="15"/>
      <c r="C925" s="15"/>
      <c r="G925" s="16"/>
      <c r="J925" s="14"/>
    </row>
    <row r="926" spans="2:10" ht="12.75" customHeight="1" x14ac:dyDescent="0.3">
      <c r="B926" s="15"/>
      <c r="C926" s="15"/>
      <c r="G926" s="16"/>
      <c r="J926" s="14"/>
    </row>
    <row r="927" spans="2:10" ht="12.75" customHeight="1" x14ac:dyDescent="0.3">
      <c r="B927" s="15"/>
      <c r="C927" s="15"/>
      <c r="G927" s="16"/>
      <c r="J927" s="14"/>
    </row>
    <row r="928" spans="2:10" ht="12.75" customHeight="1" x14ac:dyDescent="0.3">
      <c r="B928" s="15"/>
      <c r="C928" s="15"/>
      <c r="G928" s="16"/>
      <c r="J928" s="14"/>
    </row>
    <row r="929" spans="2:10" ht="12.75" customHeight="1" x14ac:dyDescent="0.3">
      <c r="B929" s="15"/>
      <c r="C929" s="15"/>
      <c r="G929" s="16"/>
      <c r="J929" s="14"/>
    </row>
    <row r="930" spans="2:10" ht="12.75" customHeight="1" x14ac:dyDescent="0.3">
      <c r="B930" s="15"/>
      <c r="C930" s="15"/>
      <c r="G930" s="16"/>
      <c r="J930" s="14"/>
    </row>
    <row r="931" spans="2:10" ht="12.75" customHeight="1" x14ac:dyDescent="0.3">
      <c r="B931" s="15"/>
      <c r="C931" s="15"/>
      <c r="G931" s="16"/>
      <c r="J931" s="14"/>
    </row>
    <row r="932" spans="2:10" ht="12.75" customHeight="1" x14ac:dyDescent="0.3">
      <c r="B932" s="15"/>
      <c r="C932" s="15"/>
      <c r="G932" s="16"/>
      <c r="J932" s="14"/>
    </row>
    <row r="933" spans="2:10" ht="12.75" customHeight="1" x14ac:dyDescent="0.3">
      <c r="B933" s="15"/>
      <c r="C933" s="15"/>
      <c r="G933" s="16"/>
      <c r="J933" s="14"/>
    </row>
    <row r="934" spans="2:10" ht="12.75" customHeight="1" x14ac:dyDescent="0.3">
      <c r="B934" s="15"/>
      <c r="C934" s="15"/>
      <c r="G934" s="16"/>
      <c r="J934" s="14"/>
    </row>
    <row r="935" spans="2:10" ht="12.75" customHeight="1" x14ac:dyDescent="0.3">
      <c r="B935" s="15"/>
      <c r="C935" s="15"/>
      <c r="G935" s="16"/>
      <c r="J935" s="14"/>
    </row>
    <row r="936" spans="2:10" ht="12.75" customHeight="1" x14ac:dyDescent="0.3">
      <c r="B936" s="15"/>
      <c r="C936" s="15"/>
      <c r="G936" s="16"/>
      <c r="J936" s="14"/>
    </row>
    <row r="937" spans="2:10" ht="12.75" customHeight="1" x14ac:dyDescent="0.3">
      <c r="B937" s="15"/>
      <c r="C937" s="15"/>
      <c r="G937" s="16"/>
      <c r="J937" s="14"/>
    </row>
    <row r="938" spans="2:10" ht="12.75" customHeight="1" x14ac:dyDescent="0.3">
      <c r="B938" s="15"/>
      <c r="C938" s="15"/>
      <c r="G938" s="16"/>
      <c r="J938" s="14"/>
    </row>
    <row r="939" spans="2:10" ht="12.75" customHeight="1" x14ac:dyDescent="0.3">
      <c r="B939" s="15"/>
      <c r="C939" s="15"/>
      <c r="G939" s="16"/>
      <c r="J939" s="14"/>
    </row>
    <row r="940" spans="2:10" ht="12.75" customHeight="1" x14ac:dyDescent="0.3">
      <c r="B940" s="15"/>
      <c r="C940" s="15"/>
      <c r="G940" s="16"/>
      <c r="J940" s="14"/>
    </row>
    <row r="941" spans="2:10" ht="12.75" customHeight="1" x14ac:dyDescent="0.3">
      <c r="B941" s="15"/>
      <c r="C941" s="15"/>
      <c r="G941" s="16"/>
      <c r="J941" s="14"/>
    </row>
    <row r="942" spans="2:10" ht="12.75" customHeight="1" x14ac:dyDescent="0.3">
      <c r="B942" s="15"/>
      <c r="C942" s="15"/>
      <c r="G942" s="16"/>
      <c r="J942" s="14"/>
    </row>
    <row r="943" spans="2:10" ht="12.75" customHeight="1" x14ac:dyDescent="0.3">
      <c r="B943" s="15"/>
      <c r="C943" s="15"/>
      <c r="G943" s="16"/>
      <c r="J943" s="14"/>
    </row>
    <row r="944" spans="2:10" ht="12.75" customHeight="1" x14ac:dyDescent="0.3">
      <c r="B944" s="15"/>
      <c r="C944" s="15"/>
      <c r="G944" s="16"/>
      <c r="J944" s="14"/>
    </row>
    <row r="945" spans="2:10" ht="12.75" customHeight="1" x14ac:dyDescent="0.3">
      <c r="B945" s="15"/>
      <c r="C945" s="15"/>
      <c r="G945" s="16"/>
      <c r="J945" s="14"/>
    </row>
    <row r="946" spans="2:10" ht="12.75" customHeight="1" x14ac:dyDescent="0.3">
      <c r="B946" s="15"/>
      <c r="C946" s="15"/>
      <c r="G946" s="16"/>
      <c r="J946" s="14"/>
    </row>
    <row r="947" spans="2:10" ht="12.75" customHeight="1" x14ac:dyDescent="0.3">
      <c r="B947" s="15"/>
      <c r="C947" s="15"/>
      <c r="G947" s="16"/>
      <c r="J947" s="14"/>
    </row>
    <row r="948" spans="2:10" ht="12.75" customHeight="1" x14ac:dyDescent="0.3">
      <c r="B948" s="15"/>
      <c r="C948" s="15"/>
      <c r="G948" s="16"/>
      <c r="J948" s="14"/>
    </row>
    <row r="949" spans="2:10" ht="12.75" customHeight="1" x14ac:dyDescent="0.3">
      <c r="B949" s="15"/>
      <c r="C949" s="15"/>
      <c r="G949" s="16"/>
      <c r="J949" s="14"/>
    </row>
    <row r="950" spans="2:10" ht="12.75" customHeight="1" x14ac:dyDescent="0.3">
      <c r="B950" s="15"/>
      <c r="C950" s="15"/>
      <c r="G950" s="16"/>
      <c r="J950" s="14"/>
    </row>
    <row r="951" spans="2:10" ht="12.75" customHeight="1" x14ac:dyDescent="0.3">
      <c r="B951" s="15"/>
      <c r="C951" s="15"/>
      <c r="G951" s="16"/>
      <c r="J951" s="14"/>
    </row>
    <row r="952" spans="2:10" ht="12.75" customHeight="1" x14ac:dyDescent="0.3">
      <c r="B952" s="15"/>
      <c r="C952" s="15"/>
      <c r="G952" s="16"/>
      <c r="J952" s="14"/>
    </row>
    <row r="953" spans="2:10" ht="12.75" customHeight="1" x14ac:dyDescent="0.3">
      <c r="B953" s="15"/>
      <c r="C953" s="15"/>
      <c r="G953" s="16"/>
      <c r="J953" s="14"/>
    </row>
    <row r="954" spans="2:10" ht="12.75" customHeight="1" x14ac:dyDescent="0.3">
      <c r="B954" s="15"/>
      <c r="C954" s="15"/>
      <c r="G954" s="16"/>
      <c r="J954" s="14"/>
    </row>
    <row r="955" spans="2:10" ht="12.75" customHeight="1" x14ac:dyDescent="0.3">
      <c r="B955" s="15"/>
      <c r="C955" s="15"/>
      <c r="G955" s="16"/>
      <c r="J955" s="14"/>
    </row>
    <row r="956" spans="2:10" ht="12.75" customHeight="1" x14ac:dyDescent="0.3">
      <c r="B956" s="15"/>
      <c r="C956" s="15"/>
      <c r="G956" s="16"/>
      <c r="J956" s="14"/>
    </row>
    <row r="957" spans="2:10" ht="12.75" customHeight="1" x14ac:dyDescent="0.3">
      <c r="B957" s="15"/>
      <c r="C957" s="15"/>
      <c r="G957" s="16"/>
      <c r="J957" s="14"/>
    </row>
    <row r="958" spans="2:10" ht="12.75" customHeight="1" x14ac:dyDescent="0.3">
      <c r="B958" s="15"/>
      <c r="C958" s="15"/>
      <c r="G958" s="16"/>
      <c r="J958" s="14"/>
    </row>
    <row r="959" spans="2:10" ht="12.75" customHeight="1" x14ac:dyDescent="0.3">
      <c r="B959" s="15"/>
      <c r="C959" s="15"/>
      <c r="G959" s="16"/>
      <c r="J959" s="14"/>
    </row>
    <row r="960" spans="2:10" ht="12.75" customHeight="1" x14ac:dyDescent="0.3">
      <c r="B960" s="15"/>
      <c r="C960" s="15"/>
      <c r="G960" s="16"/>
      <c r="J960" s="14"/>
    </row>
    <row r="961" spans="2:10" ht="12.75" customHeight="1" x14ac:dyDescent="0.3">
      <c r="B961" s="15"/>
      <c r="C961" s="15"/>
      <c r="G961" s="16"/>
      <c r="J961" s="14"/>
    </row>
    <row r="962" spans="2:10" ht="12.75" customHeight="1" x14ac:dyDescent="0.3">
      <c r="B962" s="15"/>
      <c r="C962" s="15"/>
      <c r="G962" s="16"/>
      <c r="J962" s="14"/>
    </row>
    <row r="963" spans="2:10" ht="12.75" customHeight="1" x14ac:dyDescent="0.3">
      <c r="B963" s="15"/>
      <c r="C963" s="15"/>
      <c r="G963" s="16"/>
      <c r="J963" s="14"/>
    </row>
    <row r="964" spans="2:10" ht="12.75" customHeight="1" x14ac:dyDescent="0.3">
      <c r="B964" s="15"/>
      <c r="C964" s="15"/>
      <c r="G964" s="16"/>
      <c r="J964" s="14"/>
    </row>
    <row r="965" spans="2:10" ht="12.75" customHeight="1" x14ac:dyDescent="0.3">
      <c r="B965" s="15"/>
      <c r="C965" s="15"/>
      <c r="G965" s="16"/>
      <c r="J965" s="14"/>
    </row>
    <row r="966" spans="2:10" ht="12.75" customHeight="1" x14ac:dyDescent="0.3">
      <c r="B966" s="15"/>
      <c r="C966" s="15"/>
      <c r="G966" s="16"/>
      <c r="J966" s="14"/>
    </row>
    <row r="967" spans="2:10" ht="12.75" customHeight="1" x14ac:dyDescent="0.3">
      <c r="B967" s="15"/>
      <c r="C967" s="15"/>
      <c r="G967" s="16"/>
      <c r="J967" s="14"/>
    </row>
    <row r="968" spans="2:10" ht="12.75" customHeight="1" x14ac:dyDescent="0.3">
      <c r="B968" s="15"/>
      <c r="C968" s="15"/>
      <c r="G968" s="16"/>
      <c r="J968" s="14"/>
    </row>
    <row r="969" spans="2:10" ht="12.75" customHeight="1" x14ac:dyDescent="0.3">
      <c r="B969" s="15"/>
      <c r="C969" s="15"/>
      <c r="G969" s="16"/>
      <c r="J969" s="14"/>
    </row>
    <row r="970" spans="2:10" ht="12.75" customHeight="1" x14ac:dyDescent="0.3">
      <c r="B970" s="15"/>
      <c r="C970" s="15"/>
      <c r="G970" s="16"/>
      <c r="J970" s="14"/>
    </row>
    <row r="971" spans="2:10" ht="12.75" customHeight="1" x14ac:dyDescent="0.3">
      <c r="B971" s="15"/>
      <c r="C971" s="15"/>
      <c r="G971" s="16"/>
      <c r="J971" s="14"/>
    </row>
    <row r="972" spans="2:10" ht="12.75" customHeight="1" x14ac:dyDescent="0.3">
      <c r="B972" s="15"/>
      <c r="C972" s="15"/>
      <c r="G972" s="16"/>
      <c r="J972" s="14"/>
    </row>
    <row r="973" spans="2:10" ht="12.75" customHeight="1" x14ac:dyDescent="0.3">
      <c r="B973" s="15"/>
      <c r="C973" s="15"/>
      <c r="G973" s="16"/>
      <c r="J973" s="14"/>
    </row>
    <row r="974" spans="2:10" ht="12.75" customHeight="1" x14ac:dyDescent="0.3">
      <c r="B974" s="15"/>
      <c r="C974" s="15"/>
      <c r="G974" s="16"/>
      <c r="J974" s="14"/>
    </row>
    <row r="975" spans="2:10" ht="12.75" customHeight="1" x14ac:dyDescent="0.3">
      <c r="B975" s="15"/>
      <c r="C975" s="15"/>
      <c r="G975" s="16"/>
      <c r="J975" s="14"/>
    </row>
    <row r="976" spans="2:10" ht="12.75" customHeight="1" x14ac:dyDescent="0.3">
      <c r="B976" s="15"/>
      <c r="C976" s="15"/>
      <c r="G976" s="16"/>
      <c r="J976" s="14"/>
    </row>
    <row r="977" spans="2:10" ht="12.75" customHeight="1" x14ac:dyDescent="0.3">
      <c r="B977" s="15"/>
      <c r="C977" s="15"/>
      <c r="G977" s="16"/>
      <c r="J977" s="14"/>
    </row>
    <row r="978" spans="2:10" ht="12.75" customHeight="1" x14ac:dyDescent="0.3">
      <c r="B978" s="15"/>
      <c r="C978" s="15"/>
      <c r="G978" s="16"/>
      <c r="J978" s="14"/>
    </row>
    <row r="979" spans="2:10" ht="12.75" customHeight="1" x14ac:dyDescent="0.3">
      <c r="B979" s="15"/>
      <c r="C979" s="15"/>
      <c r="G979" s="16"/>
      <c r="J979" s="14"/>
    </row>
    <row r="980" spans="2:10" ht="12.75" customHeight="1" x14ac:dyDescent="0.3">
      <c r="B980" s="15"/>
      <c r="C980" s="15"/>
      <c r="G980" s="16"/>
      <c r="J980" s="14"/>
    </row>
    <row r="981" spans="2:10" ht="12.75" customHeight="1" x14ac:dyDescent="0.3">
      <c r="B981" s="15"/>
      <c r="C981" s="15"/>
      <c r="G981" s="16"/>
      <c r="J981" s="14"/>
    </row>
    <row r="982" spans="2:10" ht="12.75" customHeight="1" x14ac:dyDescent="0.3">
      <c r="B982" s="15"/>
      <c r="C982" s="15"/>
      <c r="G982" s="16"/>
      <c r="J982" s="14"/>
    </row>
    <row r="983" spans="2:10" ht="12.75" customHeight="1" x14ac:dyDescent="0.3">
      <c r="B983" s="15"/>
      <c r="C983" s="15"/>
      <c r="G983" s="16"/>
      <c r="J983" s="14"/>
    </row>
    <row r="984" spans="2:10" ht="12.75" customHeight="1" x14ac:dyDescent="0.3">
      <c r="B984" s="15"/>
      <c r="C984" s="15"/>
      <c r="G984" s="16"/>
      <c r="J984" s="14"/>
    </row>
    <row r="985" spans="2:10" ht="12.75" customHeight="1" x14ac:dyDescent="0.3">
      <c r="B985" s="15"/>
      <c r="C985" s="15"/>
      <c r="G985" s="16"/>
      <c r="J985" s="14"/>
    </row>
    <row r="986" spans="2:10" ht="12.75" customHeight="1" x14ac:dyDescent="0.3">
      <c r="B986" s="15"/>
      <c r="C986" s="15"/>
      <c r="G986" s="16"/>
      <c r="J986" s="14"/>
    </row>
    <row r="987" spans="2:10" ht="12.75" customHeight="1" x14ac:dyDescent="0.3">
      <c r="B987" s="15"/>
      <c r="C987" s="15"/>
      <c r="G987" s="16"/>
      <c r="J987" s="14"/>
    </row>
    <row r="988" spans="2:10" ht="12.75" customHeight="1" x14ac:dyDescent="0.3">
      <c r="B988" s="15"/>
      <c r="C988" s="15"/>
      <c r="G988" s="16"/>
      <c r="J988" s="14"/>
    </row>
    <row r="989" spans="2:10" ht="12.75" customHeight="1" x14ac:dyDescent="0.3">
      <c r="B989" s="15"/>
      <c r="C989" s="15"/>
      <c r="G989" s="16"/>
      <c r="J989" s="14"/>
    </row>
    <row r="990" spans="2:10" ht="12.75" customHeight="1" x14ac:dyDescent="0.3">
      <c r="B990" s="15"/>
      <c r="C990" s="15"/>
      <c r="G990" s="16"/>
      <c r="J990" s="14"/>
    </row>
    <row r="991" spans="2:10" ht="12.75" customHeight="1" x14ac:dyDescent="0.3">
      <c r="B991" s="15"/>
      <c r="C991" s="15"/>
      <c r="G991" s="16"/>
      <c r="J991" s="14"/>
    </row>
    <row r="992" spans="2:10" ht="12.75" customHeight="1" x14ac:dyDescent="0.3">
      <c r="B992" s="15"/>
      <c r="C992" s="15"/>
      <c r="G992" s="16"/>
      <c r="J992" s="14"/>
    </row>
    <row r="993" spans="2:10" ht="12.75" customHeight="1" x14ac:dyDescent="0.3">
      <c r="B993" s="15"/>
      <c r="C993" s="15"/>
      <c r="G993" s="16"/>
      <c r="J993" s="14"/>
    </row>
    <row r="994" spans="2:10" ht="12.75" customHeight="1" x14ac:dyDescent="0.3">
      <c r="B994" s="15"/>
      <c r="C994" s="15"/>
      <c r="G994" s="16"/>
      <c r="J994" s="14"/>
    </row>
    <row r="995" spans="2:10" ht="12.75" customHeight="1" x14ac:dyDescent="0.3">
      <c r="B995" s="15"/>
      <c r="C995" s="15"/>
      <c r="G995" s="16"/>
      <c r="J995" s="14"/>
    </row>
    <row r="996" spans="2:10" ht="12.75" customHeight="1" x14ac:dyDescent="0.3">
      <c r="B996" s="15"/>
      <c r="C996" s="15"/>
      <c r="G996" s="16"/>
      <c r="J996" s="14"/>
    </row>
    <row r="997" spans="2:10" ht="12.75" customHeight="1" x14ac:dyDescent="0.3">
      <c r="B997" s="15"/>
      <c r="C997" s="15"/>
      <c r="G997" s="16"/>
      <c r="J997" s="14"/>
    </row>
    <row r="998" spans="2:10" ht="12.75" customHeight="1" x14ac:dyDescent="0.3">
      <c r="B998" s="15"/>
      <c r="C998" s="15"/>
      <c r="G998" s="16"/>
      <c r="J998" s="14"/>
    </row>
    <row r="999" spans="2:10" ht="12.75" customHeight="1" x14ac:dyDescent="0.3">
      <c r="B999" s="15"/>
      <c r="C999" s="15"/>
      <c r="G999" s="16"/>
      <c r="J999" s="14"/>
    </row>
    <row r="1000" spans="2:10" ht="12.75" customHeight="1" x14ac:dyDescent="0.3">
      <c r="B1000" s="15"/>
      <c r="C1000" s="15"/>
      <c r="G1000" s="16"/>
      <c r="J1000" s="14"/>
    </row>
  </sheetData>
  <pageMargins left="0.78740157499999996" right="0.78740157499999996" top="0.984251969" bottom="0.984251969" header="0" footer="0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994"/>
  <sheetViews>
    <sheetView workbookViewId="0">
      <selection activeCell="F18" sqref="F18"/>
    </sheetView>
  </sheetViews>
  <sheetFormatPr baseColWidth="10" defaultColWidth="14.3984375" defaultRowHeight="15" customHeight="1" x14ac:dyDescent="0.3"/>
  <cols>
    <col min="1" max="1" width="20" bestFit="1" customWidth="1"/>
    <col min="2" max="2" width="15.09765625" bestFit="1" customWidth="1"/>
    <col min="3" max="3" width="20.59765625" customWidth="1"/>
    <col min="4" max="4" width="15.296875" customWidth="1"/>
    <col min="5" max="5" width="15.8984375" customWidth="1"/>
    <col min="6" max="26" width="10.69921875" customWidth="1"/>
  </cols>
  <sheetData>
    <row r="1" spans="1:8" ht="16.5" customHeight="1" x14ac:dyDescent="0.3">
      <c r="A1" s="17" t="s">
        <v>458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7" t="s">
        <v>466</v>
      </c>
      <c r="B2" s="26" t="s">
        <v>468</v>
      </c>
    </row>
    <row r="3" spans="1:8" ht="12.75" customHeight="1" x14ac:dyDescent="0.3">
      <c r="A3" s="26" t="s">
        <v>26</v>
      </c>
      <c r="B3" s="30">
        <v>16</v>
      </c>
    </row>
    <row r="4" spans="1:8" ht="12.75" customHeight="1" x14ac:dyDescent="0.3">
      <c r="A4" s="26" t="s">
        <v>29</v>
      </c>
      <c r="B4" s="30">
        <v>142</v>
      </c>
    </row>
    <row r="5" spans="1:8" ht="12.75" customHeight="1" x14ac:dyDescent="0.3">
      <c r="A5" s="26" t="s">
        <v>15</v>
      </c>
      <c r="B5" s="30">
        <v>102</v>
      </c>
    </row>
    <row r="6" spans="1:8" ht="12.75" customHeight="1" x14ac:dyDescent="0.3">
      <c r="A6" s="26" t="s">
        <v>38</v>
      </c>
      <c r="B6" s="30">
        <v>23</v>
      </c>
    </row>
    <row r="7" spans="1:8" ht="12.75" customHeight="1" x14ac:dyDescent="0.3">
      <c r="A7" s="26" t="s">
        <v>467</v>
      </c>
      <c r="B7" s="30">
        <v>283</v>
      </c>
    </row>
    <row r="8" spans="1:8" ht="12.75" customHeight="1" x14ac:dyDescent="0.3"/>
    <row r="9" spans="1:8" ht="12.75" customHeight="1" x14ac:dyDescent="0.3"/>
    <row r="10" spans="1:8" ht="12.75" customHeight="1" x14ac:dyDescent="0.3"/>
    <row r="11" spans="1:8" ht="12.75" customHeight="1" x14ac:dyDescent="0.3"/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</sheetData>
  <pageMargins left="0.78740157499999996" right="0.78740157499999996" top="0.984251969" bottom="0.98425196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986"/>
  <sheetViews>
    <sheetView workbookViewId="0">
      <selection activeCell="A2" sqref="A2:D8"/>
    </sheetView>
  </sheetViews>
  <sheetFormatPr baseColWidth="10" defaultColWidth="14.3984375" defaultRowHeight="15" customHeight="1" x14ac:dyDescent="0.3"/>
  <cols>
    <col min="1" max="1" width="20" bestFit="1" customWidth="1"/>
    <col min="2" max="2" width="15" customWidth="1"/>
    <col min="3" max="3" width="11.69921875" customWidth="1"/>
    <col min="4" max="4" width="15.5" customWidth="1"/>
    <col min="5" max="5" width="15.8984375" customWidth="1"/>
    <col min="6" max="26" width="10.69921875" customWidth="1"/>
  </cols>
  <sheetData>
    <row r="1" spans="1:8" ht="16.5" customHeight="1" x14ac:dyDescent="0.3">
      <c r="A1" s="17" t="s">
        <v>459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1" t="s">
        <v>478</v>
      </c>
      <c r="B2" s="21" t="s">
        <v>471</v>
      </c>
      <c r="C2" s="20"/>
      <c r="D2" s="20"/>
    </row>
    <row r="3" spans="1:8" ht="12.75" customHeight="1" x14ac:dyDescent="0.3">
      <c r="A3" s="27" t="s">
        <v>470</v>
      </c>
      <c r="B3" s="26" t="s">
        <v>16</v>
      </c>
      <c r="C3" s="26" t="s">
        <v>20</v>
      </c>
      <c r="D3" s="26" t="s">
        <v>467</v>
      </c>
    </row>
    <row r="4" spans="1:8" ht="12.75" customHeight="1" x14ac:dyDescent="0.3">
      <c r="A4" s="26" t="s">
        <v>26</v>
      </c>
      <c r="B4" s="30">
        <v>10</v>
      </c>
      <c r="C4" s="30">
        <v>6</v>
      </c>
      <c r="D4" s="30">
        <v>16</v>
      </c>
    </row>
    <row r="5" spans="1:8" ht="12.75" customHeight="1" x14ac:dyDescent="0.3">
      <c r="A5" s="26" t="s">
        <v>29</v>
      </c>
      <c r="B5" s="30">
        <v>96</v>
      </c>
      <c r="C5" s="30">
        <v>46</v>
      </c>
      <c r="D5" s="30">
        <v>142</v>
      </c>
    </row>
    <row r="6" spans="1:8" ht="12.75" customHeight="1" x14ac:dyDescent="0.3">
      <c r="A6" s="26" t="s">
        <v>15</v>
      </c>
      <c r="B6" s="30">
        <v>62</v>
      </c>
      <c r="C6" s="30">
        <v>40</v>
      </c>
      <c r="D6" s="30">
        <v>102</v>
      </c>
    </row>
    <row r="7" spans="1:8" ht="12.75" customHeight="1" x14ac:dyDescent="0.3">
      <c r="A7" s="26" t="s">
        <v>38</v>
      </c>
      <c r="B7" s="30">
        <v>11</v>
      </c>
      <c r="C7" s="30">
        <v>12</v>
      </c>
      <c r="D7" s="30">
        <v>23</v>
      </c>
    </row>
    <row r="8" spans="1:8" ht="12.75" customHeight="1" x14ac:dyDescent="0.3">
      <c r="A8" s="26" t="s">
        <v>467</v>
      </c>
      <c r="B8" s="30">
        <v>179</v>
      </c>
      <c r="C8" s="30">
        <v>104</v>
      </c>
      <c r="D8" s="30">
        <v>283</v>
      </c>
    </row>
    <row r="9" spans="1:8" ht="12.75" customHeight="1" x14ac:dyDescent="0.3"/>
    <row r="10" spans="1:8" ht="12.75" customHeight="1" x14ac:dyDescent="0.3"/>
    <row r="11" spans="1:8" ht="12.75" customHeight="1" x14ac:dyDescent="0.3"/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979"/>
  <sheetViews>
    <sheetView workbookViewId="0">
      <selection activeCell="B16" sqref="B16"/>
    </sheetView>
  </sheetViews>
  <sheetFormatPr baseColWidth="10" defaultColWidth="14.3984375" defaultRowHeight="15" customHeight="1" x14ac:dyDescent="0.3"/>
  <cols>
    <col min="1" max="1" width="20" bestFit="1" customWidth="1"/>
    <col min="2" max="2" width="14.3984375" customWidth="1"/>
    <col min="3" max="3" width="20.59765625" customWidth="1"/>
    <col min="4" max="4" width="18.59765625" customWidth="1"/>
    <col min="5" max="5" width="20.8984375" customWidth="1"/>
    <col min="6" max="6" width="15.296875" customWidth="1"/>
    <col min="7" max="26" width="10.69921875" customWidth="1"/>
  </cols>
  <sheetData>
    <row r="1" spans="1:8" ht="16.5" customHeight="1" x14ac:dyDescent="0.3">
      <c r="A1" s="17" t="s">
        <v>460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7" t="s">
        <v>6</v>
      </c>
      <c r="B2" s="26" t="s">
        <v>472</v>
      </c>
    </row>
    <row r="3" spans="1:8" ht="12.75" customHeight="1" x14ac:dyDescent="0.3">
      <c r="A3" s="26" t="s">
        <v>26</v>
      </c>
      <c r="B3" s="30">
        <v>222662.04</v>
      </c>
    </row>
    <row r="4" spans="1:8" ht="12.75" customHeight="1" x14ac:dyDescent="0.3">
      <c r="A4" s="26" t="s">
        <v>29</v>
      </c>
      <c r="B4" s="30">
        <v>1898002.4400000009</v>
      </c>
    </row>
    <row r="5" spans="1:8" ht="12.75" customHeight="1" x14ac:dyDescent="0.3">
      <c r="A5" s="26" t="s">
        <v>15</v>
      </c>
      <c r="B5" s="30">
        <v>1400365.0299999998</v>
      </c>
    </row>
    <row r="6" spans="1:8" ht="12.75" customHeight="1" x14ac:dyDescent="0.3">
      <c r="A6" s="26" t="s">
        <v>38</v>
      </c>
      <c r="B6" s="30">
        <v>338697.5</v>
      </c>
    </row>
    <row r="7" spans="1:8" ht="12.75" customHeight="1" x14ac:dyDescent="0.3">
      <c r="A7" s="26" t="s">
        <v>467</v>
      </c>
      <c r="B7" s="30">
        <v>3859727.0100000007</v>
      </c>
    </row>
    <row r="8" spans="1:8" ht="12.75" customHeight="1" x14ac:dyDescent="0.3"/>
    <row r="9" spans="1:8" ht="12.75" customHeight="1" x14ac:dyDescent="0.3"/>
    <row r="10" spans="1:8" ht="12.75" customHeight="1" x14ac:dyDescent="0.3"/>
    <row r="11" spans="1:8" ht="12.75" customHeight="1" x14ac:dyDescent="0.3"/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985"/>
  <sheetViews>
    <sheetView workbookViewId="0">
      <selection activeCell="D21" sqref="D21"/>
    </sheetView>
  </sheetViews>
  <sheetFormatPr baseColWidth="10" defaultColWidth="14.3984375" defaultRowHeight="15" customHeight="1" x14ac:dyDescent="0.3"/>
  <cols>
    <col min="1" max="1" width="11.8984375" bestFit="1" customWidth="1"/>
    <col min="2" max="2" width="22.69921875" bestFit="1" customWidth="1"/>
    <col min="3" max="3" width="18.3984375" customWidth="1"/>
    <col min="4" max="4" width="18.19921875" customWidth="1"/>
    <col min="5" max="5" width="19.09765625" customWidth="1"/>
    <col min="6" max="6" width="20.19921875" bestFit="1" customWidth="1"/>
    <col min="7" max="7" width="20.296875" bestFit="1" customWidth="1"/>
    <col min="8" max="8" width="21.8984375" bestFit="1" customWidth="1"/>
    <col min="9" max="10" width="22.8984375" bestFit="1" customWidth="1"/>
    <col min="11" max="26" width="10.69921875" customWidth="1"/>
  </cols>
  <sheetData>
    <row r="1" spans="1:8" ht="16.5" customHeight="1" x14ac:dyDescent="0.3">
      <c r="A1" s="17" t="s">
        <v>461</v>
      </c>
      <c r="B1" s="18"/>
      <c r="E1" s="18"/>
      <c r="F1" s="18"/>
      <c r="G1" s="18"/>
      <c r="H1" s="18"/>
    </row>
    <row r="2" spans="1:8" ht="12.75" customHeight="1" x14ac:dyDescent="0.3">
      <c r="A2" s="20"/>
      <c r="B2" s="21" t="s">
        <v>469</v>
      </c>
      <c r="C2" s="20"/>
      <c r="D2" s="20"/>
      <c r="E2" s="20"/>
      <c r="F2" s="20"/>
      <c r="G2" s="20"/>
    </row>
    <row r="3" spans="1:8" ht="12.75" customHeight="1" x14ac:dyDescent="0.3">
      <c r="A3" s="20"/>
      <c r="B3" s="24" t="s">
        <v>16</v>
      </c>
      <c r="C3" s="24"/>
      <c r="D3" s="25" t="s">
        <v>20</v>
      </c>
      <c r="E3" s="25"/>
      <c r="F3" s="20" t="s">
        <v>473</v>
      </c>
      <c r="G3" s="20" t="s">
        <v>475</v>
      </c>
    </row>
    <row r="4" spans="1:8" s="19" customFormat="1" ht="12.75" customHeight="1" x14ac:dyDescent="0.3">
      <c r="A4" s="27" t="s">
        <v>6</v>
      </c>
      <c r="B4" s="26" t="s">
        <v>474</v>
      </c>
      <c r="C4" s="26" t="s">
        <v>476</v>
      </c>
      <c r="D4" s="26" t="s">
        <v>474</v>
      </c>
      <c r="E4" s="26" t="s">
        <v>476</v>
      </c>
      <c r="F4" s="26"/>
      <c r="G4" s="26"/>
    </row>
    <row r="5" spans="1:8" ht="12.75" customHeight="1" x14ac:dyDescent="0.3">
      <c r="A5" s="22" t="s">
        <v>26</v>
      </c>
      <c r="B5" s="23">
        <v>147965.31</v>
      </c>
      <c r="C5" s="35">
        <v>14796.530999999999</v>
      </c>
      <c r="D5" s="23">
        <v>74696.73</v>
      </c>
      <c r="E5" s="35">
        <v>12449.455</v>
      </c>
      <c r="F5" s="23">
        <v>222662.04000000004</v>
      </c>
      <c r="G5" s="35">
        <v>13916.377500000002</v>
      </c>
    </row>
    <row r="6" spans="1:8" ht="12.75" customHeight="1" x14ac:dyDescent="0.3">
      <c r="A6" s="22" t="s">
        <v>29</v>
      </c>
      <c r="B6" s="23">
        <v>1311441.4300000004</v>
      </c>
      <c r="C6" s="35">
        <v>13520.014742268046</v>
      </c>
      <c r="D6" s="23">
        <v>586561.01</v>
      </c>
      <c r="E6" s="35">
        <v>12751.326304347825</v>
      </c>
      <c r="F6" s="23">
        <v>1898002.4400000004</v>
      </c>
      <c r="G6" s="35">
        <v>13272.744335664338</v>
      </c>
    </row>
    <row r="7" spans="1:8" ht="12.75" customHeight="1" x14ac:dyDescent="0.3">
      <c r="A7" s="22" t="s">
        <v>15</v>
      </c>
      <c r="B7" s="23">
        <v>847382.98</v>
      </c>
      <c r="C7" s="35">
        <v>13667.467419354838</v>
      </c>
      <c r="D7" s="23">
        <v>552982.04999999981</v>
      </c>
      <c r="E7" s="35">
        <v>13824.551249999995</v>
      </c>
      <c r="F7" s="23">
        <v>1400365.0299999993</v>
      </c>
      <c r="G7" s="35">
        <v>13729.068921568622</v>
      </c>
    </row>
    <row r="8" spans="1:8" ht="12.75" customHeight="1" x14ac:dyDescent="0.3">
      <c r="A8" s="22" t="s">
        <v>38</v>
      </c>
      <c r="B8" s="23">
        <v>175496.93</v>
      </c>
      <c r="C8" s="35">
        <v>15954.266363636363</v>
      </c>
      <c r="D8" s="23">
        <v>163200.57</v>
      </c>
      <c r="E8" s="35">
        <v>13600.047500000001</v>
      </c>
      <c r="F8" s="23">
        <v>338697.5</v>
      </c>
      <c r="G8" s="35">
        <v>14725.978260869566</v>
      </c>
    </row>
    <row r="9" spans="1:8" ht="12.75" customHeight="1" x14ac:dyDescent="0.3">
      <c r="A9" s="22" t="s">
        <v>467</v>
      </c>
      <c r="B9" s="23">
        <v>2482286.6499999994</v>
      </c>
      <c r="C9" s="35">
        <v>13790.481388888886</v>
      </c>
      <c r="D9" s="23">
        <v>1377440.3599999992</v>
      </c>
      <c r="E9" s="35">
        <v>13244.618846153839</v>
      </c>
      <c r="F9" s="23">
        <v>3859727.01</v>
      </c>
      <c r="G9" s="35">
        <v>13590.588063380281</v>
      </c>
    </row>
    <row r="10" spans="1:8" ht="12.75" customHeight="1" x14ac:dyDescent="0.3"/>
    <row r="11" spans="1:8" ht="12.75" customHeight="1" x14ac:dyDescent="0.3"/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H1000"/>
  <sheetViews>
    <sheetView workbookViewId="0">
      <selection activeCell="C20" sqref="C20"/>
    </sheetView>
  </sheetViews>
  <sheetFormatPr baseColWidth="10" defaultColWidth="14.3984375" defaultRowHeight="15" customHeight="1" x14ac:dyDescent="0.3"/>
  <cols>
    <col min="1" max="1" width="17.69921875" customWidth="1"/>
    <col min="2" max="2" width="10.8984375" customWidth="1"/>
    <col min="3" max="3" width="11" customWidth="1"/>
    <col min="4" max="4" width="14.3984375" customWidth="1"/>
    <col min="5" max="5" width="10.69921875" customWidth="1"/>
    <col min="6" max="6" width="21.296875" customWidth="1"/>
    <col min="7" max="7" width="20.8984375" customWidth="1"/>
    <col min="8" max="8" width="15.296875" customWidth="1"/>
    <col min="9" max="26" width="10.69921875" customWidth="1"/>
  </cols>
  <sheetData>
    <row r="1" spans="1:8" ht="16.5" customHeight="1" x14ac:dyDescent="0.3">
      <c r="A1" s="17" t="s">
        <v>462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7" t="s">
        <v>476</v>
      </c>
      <c r="B2" s="27" t="s">
        <v>471</v>
      </c>
      <c r="C2" s="26"/>
      <c r="D2" s="26"/>
    </row>
    <row r="3" spans="1:8" ht="12.75" customHeight="1" x14ac:dyDescent="0.3">
      <c r="A3" s="27" t="s">
        <v>477</v>
      </c>
      <c r="B3" s="26" t="s">
        <v>16</v>
      </c>
      <c r="C3" s="26" t="s">
        <v>20</v>
      </c>
      <c r="D3" s="26" t="s">
        <v>467</v>
      </c>
    </row>
    <row r="4" spans="1:8" ht="12.75" customHeight="1" x14ac:dyDescent="0.3">
      <c r="A4" s="26">
        <v>5</v>
      </c>
      <c r="B4" s="36">
        <v>13671.812500000002</v>
      </c>
      <c r="C4" s="36">
        <v>11784.880000000001</v>
      </c>
      <c r="D4" s="36">
        <v>12946.069230769233</v>
      </c>
    </row>
    <row r="5" spans="1:8" ht="12.75" customHeight="1" x14ac:dyDescent="0.3">
      <c r="A5" s="26">
        <v>6</v>
      </c>
      <c r="B5" s="36">
        <v>15207.646111111108</v>
      </c>
      <c r="C5" s="36">
        <v>13444.984666666665</v>
      </c>
      <c r="D5" s="36">
        <v>14406.436363636363</v>
      </c>
    </row>
    <row r="6" spans="1:8" ht="12.75" customHeight="1" x14ac:dyDescent="0.3">
      <c r="A6" s="26">
        <v>7</v>
      </c>
      <c r="B6" s="36">
        <v>14755.886857142857</v>
      </c>
      <c r="C6" s="36">
        <v>12015.772272727272</v>
      </c>
      <c r="D6" s="36">
        <v>13698.298771929827</v>
      </c>
    </row>
    <row r="7" spans="1:8" ht="12.75" customHeight="1" x14ac:dyDescent="0.3">
      <c r="A7" s="26">
        <v>8</v>
      </c>
      <c r="B7" s="36">
        <v>14745.873750000001</v>
      </c>
      <c r="C7" s="36">
        <v>14578.523076923077</v>
      </c>
      <c r="D7" s="36">
        <v>14687.074864864866</v>
      </c>
    </row>
    <row r="8" spans="1:8" ht="12.75" customHeight="1" x14ac:dyDescent="0.3">
      <c r="A8" s="26">
        <v>9</v>
      </c>
      <c r="B8" s="36">
        <v>13425.839024390241</v>
      </c>
      <c r="C8" s="36">
        <v>12452.521904761907</v>
      </c>
      <c r="D8" s="36">
        <v>13096.167096774192</v>
      </c>
    </row>
    <row r="9" spans="1:8" ht="12.75" customHeight="1" x14ac:dyDescent="0.3">
      <c r="A9" s="26">
        <v>10</v>
      </c>
      <c r="B9" s="36">
        <v>12450.253658536585</v>
      </c>
      <c r="C9" s="36">
        <v>14565.053636363633</v>
      </c>
      <c r="D9" s="36">
        <v>13188.755238095242</v>
      </c>
    </row>
    <row r="10" spans="1:8" ht="12.75" customHeight="1" x14ac:dyDescent="0.3">
      <c r="A10" s="26">
        <v>11</v>
      </c>
      <c r="B10" s="36">
        <v>12915.208461538459</v>
      </c>
      <c r="C10" s="36">
        <v>13506.543333333333</v>
      </c>
      <c r="D10" s="36">
        <v>13101.945789473682</v>
      </c>
    </row>
    <row r="11" spans="1:8" ht="12.75" customHeight="1" x14ac:dyDescent="0.3">
      <c r="A11" s="26" t="s">
        <v>467</v>
      </c>
      <c r="B11" s="36">
        <v>13790.481388888891</v>
      </c>
      <c r="C11" s="36">
        <v>13244.618846153842</v>
      </c>
      <c r="D11" s="36">
        <v>13590.588063380281</v>
      </c>
    </row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1000"/>
  <sheetViews>
    <sheetView workbookViewId="0">
      <selection activeCell="F26" sqref="F26"/>
    </sheetView>
  </sheetViews>
  <sheetFormatPr baseColWidth="10" defaultColWidth="14.3984375" defaultRowHeight="15" customHeight="1" x14ac:dyDescent="0.3"/>
  <cols>
    <col min="1" max="1" width="17.59765625" bestFit="1" customWidth="1"/>
    <col min="2" max="2" width="13.8984375" bestFit="1" customWidth="1"/>
    <col min="3" max="3" width="10.3984375" customWidth="1"/>
    <col min="4" max="4" width="12.5" customWidth="1"/>
    <col min="5" max="5" width="12.3984375" customWidth="1"/>
    <col min="6" max="6" width="15.296875" customWidth="1"/>
    <col min="7" max="8" width="24.09765625" customWidth="1"/>
    <col min="9" max="26" width="10.69921875" customWidth="1"/>
  </cols>
  <sheetData>
    <row r="1" spans="1:8" ht="16.5" customHeight="1" x14ac:dyDescent="0.3">
      <c r="A1" s="17" t="s">
        <v>463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7" t="s">
        <v>479</v>
      </c>
      <c r="B2" s="26" t="s">
        <v>478</v>
      </c>
      <c r="C2" s="26" t="s">
        <v>480</v>
      </c>
      <c r="D2" s="26" t="s">
        <v>482</v>
      </c>
      <c r="E2" s="26" t="s">
        <v>481</v>
      </c>
    </row>
    <row r="3" spans="1:8" ht="12.75" customHeight="1" x14ac:dyDescent="0.3">
      <c r="A3" s="26">
        <v>5</v>
      </c>
      <c r="B3" s="30">
        <v>13</v>
      </c>
      <c r="C3" s="30">
        <v>40</v>
      </c>
      <c r="D3" s="30">
        <v>44</v>
      </c>
      <c r="E3" s="31">
        <v>42.692307692307693</v>
      </c>
    </row>
    <row r="4" spans="1:8" ht="12.75" customHeight="1" x14ac:dyDescent="0.3">
      <c r="A4" s="26">
        <v>6</v>
      </c>
      <c r="B4" s="30">
        <v>33</v>
      </c>
      <c r="C4" s="30">
        <v>45</v>
      </c>
      <c r="D4" s="30">
        <v>49</v>
      </c>
      <c r="E4" s="31">
        <v>47.333333333333336</v>
      </c>
    </row>
    <row r="5" spans="1:8" ht="12.75" customHeight="1" x14ac:dyDescent="0.3">
      <c r="A5" s="26">
        <v>7</v>
      </c>
      <c r="B5" s="30">
        <v>57</v>
      </c>
      <c r="C5" s="30">
        <v>50</v>
      </c>
      <c r="D5" s="30">
        <v>54</v>
      </c>
      <c r="E5" s="31">
        <v>51.929824561403507</v>
      </c>
    </row>
    <row r="6" spans="1:8" ht="12.75" customHeight="1" x14ac:dyDescent="0.3">
      <c r="A6" s="26">
        <v>8</v>
      </c>
      <c r="B6" s="30">
        <v>37</v>
      </c>
      <c r="C6" s="30">
        <v>55</v>
      </c>
      <c r="D6" s="30">
        <v>59</v>
      </c>
      <c r="E6" s="31">
        <v>56.594594594594597</v>
      </c>
    </row>
    <row r="7" spans="1:8" ht="12.75" customHeight="1" x14ac:dyDescent="0.3">
      <c r="A7" s="26">
        <v>9</v>
      </c>
      <c r="B7" s="30">
        <v>61</v>
      </c>
      <c r="C7" s="30">
        <v>60</v>
      </c>
      <c r="D7" s="30">
        <v>64</v>
      </c>
      <c r="E7" s="31">
        <v>61.983870967741936</v>
      </c>
    </row>
    <row r="8" spans="1:8" ht="12.75" customHeight="1" x14ac:dyDescent="0.3">
      <c r="A8" s="26">
        <v>10</v>
      </c>
      <c r="B8" s="30">
        <v>63</v>
      </c>
      <c r="C8" s="30">
        <v>65</v>
      </c>
      <c r="D8" s="30">
        <v>69</v>
      </c>
      <c r="E8" s="31">
        <v>66.888888888888886</v>
      </c>
    </row>
    <row r="9" spans="1:8" ht="12.75" customHeight="1" x14ac:dyDescent="0.3">
      <c r="A9" s="26">
        <v>11</v>
      </c>
      <c r="B9" s="30">
        <v>19</v>
      </c>
      <c r="C9" s="30">
        <v>70</v>
      </c>
      <c r="D9" s="30">
        <v>71</v>
      </c>
      <c r="E9" s="31">
        <v>70.10526315789474</v>
      </c>
    </row>
    <row r="10" spans="1:8" ht="12.75" customHeight="1" x14ac:dyDescent="0.3">
      <c r="A10" s="26" t="s">
        <v>467</v>
      </c>
      <c r="B10" s="30">
        <v>283</v>
      </c>
      <c r="C10" s="30">
        <v>40</v>
      </c>
      <c r="D10" s="30">
        <v>71</v>
      </c>
      <c r="E10" s="31">
        <v>58.309859154929576</v>
      </c>
    </row>
    <row r="11" spans="1:8" ht="12.75" customHeight="1" x14ac:dyDescent="0.3"/>
    <row r="12" spans="1:8" ht="12.75" customHeight="1" x14ac:dyDescent="0.3"/>
    <row r="13" spans="1:8" ht="12.75" customHeight="1" x14ac:dyDescent="0.3"/>
    <row r="14" spans="1:8" ht="12.75" customHeight="1" x14ac:dyDescent="0.3"/>
    <row r="15" spans="1:8" ht="12.75" customHeight="1" x14ac:dyDescent="0.3"/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1000"/>
  <sheetViews>
    <sheetView tabSelected="1" workbookViewId="0">
      <selection activeCell="A6" sqref="A6"/>
    </sheetView>
  </sheetViews>
  <sheetFormatPr baseColWidth="10" defaultColWidth="14.3984375" defaultRowHeight="15" customHeight="1" x14ac:dyDescent="0.3"/>
  <cols>
    <col min="1" max="1" width="17.59765625" bestFit="1" customWidth="1"/>
    <col min="2" max="2" width="13.8984375" bestFit="1" customWidth="1"/>
    <col min="3" max="3" width="8.5" bestFit="1" customWidth="1"/>
    <col min="4" max="4" width="9" bestFit="1" customWidth="1"/>
    <col min="5" max="5" width="9.09765625" bestFit="1" customWidth="1"/>
    <col min="6" max="6" width="13.8984375" bestFit="1" customWidth="1"/>
    <col min="7" max="7" width="8.5" bestFit="1" customWidth="1"/>
    <col min="8" max="8" width="9" bestFit="1" customWidth="1"/>
    <col min="9" max="9" width="9.09765625" bestFit="1" customWidth="1"/>
    <col min="10" max="10" width="18.796875" bestFit="1" customWidth="1"/>
    <col min="11" max="11" width="13.296875" bestFit="1" customWidth="1"/>
    <col min="12" max="12" width="13.796875" bestFit="1" customWidth="1"/>
    <col min="13" max="13" width="13.8984375" bestFit="1" customWidth="1"/>
    <col min="14" max="26" width="10.69921875" customWidth="1"/>
  </cols>
  <sheetData>
    <row r="1" spans="1:13" ht="16.5" customHeight="1" x14ac:dyDescent="0.3">
      <c r="A1" s="17" t="s">
        <v>464</v>
      </c>
      <c r="B1" s="18"/>
      <c r="C1" s="18"/>
      <c r="D1" s="18"/>
      <c r="E1" s="18"/>
      <c r="F1" s="18"/>
      <c r="G1" s="18"/>
      <c r="H1" s="18"/>
    </row>
    <row r="2" spans="1:13" ht="12.75" customHeight="1" x14ac:dyDescent="0.3">
      <c r="A2" s="17" t="s">
        <v>483</v>
      </c>
      <c r="B2" s="18"/>
      <c r="C2" s="18"/>
      <c r="D2" s="18"/>
      <c r="E2" s="18"/>
      <c r="F2" s="18"/>
      <c r="G2" s="18"/>
      <c r="H2" s="18"/>
    </row>
    <row r="3" spans="1:13" ht="12.75" customHeight="1" x14ac:dyDescent="0.3">
      <c r="A3" s="26"/>
      <c r="B3" s="27" t="s">
        <v>471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12.75" customHeight="1" x14ac:dyDescent="0.3">
      <c r="A4" s="26"/>
      <c r="B4" s="28" t="s">
        <v>16</v>
      </c>
      <c r="C4" s="28"/>
      <c r="D4" s="28"/>
      <c r="E4" s="28"/>
      <c r="F4" s="29" t="s">
        <v>20</v>
      </c>
      <c r="G4" s="29"/>
      <c r="H4" s="29"/>
      <c r="I4" s="29"/>
      <c r="J4" s="26" t="s">
        <v>484</v>
      </c>
      <c r="K4" s="26" t="s">
        <v>485</v>
      </c>
      <c r="L4" s="26" t="s">
        <v>486</v>
      </c>
      <c r="M4" s="26" t="s">
        <v>487</v>
      </c>
    </row>
    <row r="5" spans="1:13" ht="12.75" customHeight="1" x14ac:dyDescent="0.3">
      <c r="A5" s="27" t="s">
        <v>479</v>
      </c>
      <c r="B5" s="26" t="s">
        <v>478</v>
      </c>
      <c r="C5" s="26" t="s">
        <v>480</v>
      </c>
      <c r="D5" s="26" t="s">
        <v>482</v>
      </c>
      <c r="E5" s="26" t="s">
        <v>481</v>
      </c>
      <c r="F5" s="26" t="s">
        <v>478</v>
      </c>
      <c r="G5" s="26" t="s">
        <v>480</v>
      </c>
      <c r="H5" s="26" t="s">
        <v>482</v>
      </c>
      <c r="I5" s="26" t="s">
        <v>481</v>
      </c>
      <c r="J5" s="26"/>
      <c r="K5" s="26"/>
      <c r="L5" s="26"/>
      <c r="M5" s="26"/>
    </row>
    <row r="6" spans="1:13" ht="12.75" customHeight="1" x14ac:dyDescent="0.3">
      <c r="A6" s="26">
        <v>5</v>
      </c>
      <c r="B6" s="30">
        <v>8</v>
      </c>
      <c r="C6" s="30">
        <v>40</v>
      </c>
      <c r="D6" s="30">
        <v>44</v>
      </c>
      <c r="E6" s="31">
        <v>42.5</v>
      </c>
      <c r="F6" s="30">
        <v>5</v>
      </c>
      <c r="G6" s="30">
        <v>42</v>
      </c>
      <c r="H6" s="30">
        <v>44</v>
      </c>
      <c r="I6" s="31">
        <v>43</v>
      </c>
      <c r="J6" s="30">
        <v>13</v>
      </c>
      <c r="K6" s="30">
        <v>40</v>
      </c>
      <c r="L6" s="30">
        <v>44</v>
      </c>
      <c r="M6" s="31">
        <v>42.692307692307693</v>
      </c>
    </row>
    <row r="7" spans="1:13" ht="12.75" customHeight="1" x14ac:dyDescent="0.3">
      <c r="A7" s="26">
        <v>6</v>
      </c>
      <c r="B7" s="30">
        <v>18</v>
      </c>
      <c r="C7" s="30">
        <v>45</v>
      </c>
      <c r="D7" s="30">
        <v>49</v>
      </c>
      <c r="E7" s="31">
        <v>47.611111111111114</v>
      </c>
      <c r="F7" s="30">
        <v>15</v>
      </c>
      <c r="G7" s="30">
        <v>45</v>
      </c>
      <c r="H7" s="30">
        <v>49</v>
      </c>
      <c r="I7" s="31">
        <v>47</v>
      </c>
      <c r="J7" s="30">
        <v>33</v>
      </c>
      <c r="K7" s="30">
        <v>45</v>
      </c>
      <c r="L7" s="30">
        <v>49</v>
      </c>
      <c r="M7" s="31">
        <v>47.333333333333336</v>
      </c>
    </row>
    <row r="8" spans="1:13" ht="12.75" customHeight="1" x14ac:dyDescent="0.3">
      <c r="A8" s="26">
        <v>7</v>
      </c>
      <c r="B8" s="30">
        <v>35</v>
      </c>
      <c r="C8" s="30">
        <v>50</v>
      </c>
      <c r="D8" s="30">
        <v>54</v>
      </c>
      <c r="E8" s="31">
        <v>51.914285714285711</v>
      </c>
      <c r="F8" s="30">
        <v>22</v>
      </c>
      <c r="G8" s="30">
        <v>50</v>
      </c>
      <c r="H8" s="30">
        <v>54</v>
      </c>
      <c r="I8" s="31">
        <v>51.954545454545453</v>
      </c>
      <c r="J8" s="30">
        <v>57</v>
      </c>
      <c r="K8" s="30">
        <v>50</v>
      </c>
      <c r="L8" s="30">
        <v>54</v>
      </c>
      <c r="M8" s="31">
        <v>51.929824561403507</v>
      </c>
    </row>
    <row r="9" spans="1:13" ht="12.75" customHeight="1" x14ac:dyDescent="0.3">
      <c r="A9" s="26">
        <v>8</v>
      </c>
      <c r="B9" s="30">
        <v>24</v>
      </c>
      <c r="C9" s="30">
        <v>55</v>
      </c>
      <c r="D9" s="30">
        <v>59</v>
      </c>
      <c r="E9" s="31">
        <v>56.625</v>
      </c>
      <c r="F9" s="30">
        <v>13</v>
      </c>
      <c r="G9" s="30">
        <v>55</v>
      </c>
      <c r="H9" s="30">
        <v>59</v>
      </c>
      <c r="I9" s="31">
        <v>56.53846153846154</v>
      </c>
      <c r="J9" s="30">
        <v>37</v>
      </c>
      <c r="K9" s="30">
        <v>55</v>
      </c>
      <c r="L9" s="30">
        <v>59</v>
      </c>
      <c r="M9" s="31">
        <v>56.594594594594597</v>
      </c>
    </row>
    <row r="10" spans="1:13" ht="12.75" customHeight="1" x14ac:dyDescent="0.3">
      <c r="A10" s="26">
        <v>9</v>
      </c>
      <c r="B10" s="30">
        <v>40</v>
      </c>
      <c r="C10" s="30">
        <v>60</v>
      </c>
      <c r="D10" s="30">
        <v>64</v>
      </c>
      <c r="E10" s="31">
        <v>61.926829268292686</v>
      </c>
      <c r="F10" s="30">
        <v>21</v>
      </c>
      <c r="G10" s="30">
        <v>60</v>
      </c>
      <c r="H10" s="30">
        <v>64</v>
      </c>
      <c r="I10" s="31">
        <v>62.095238095238095</v>
      </c>
      <c r="J10" s="30">
        <v>61</v>
      </c>
      <c r="K10" s="30">
        <v>60</v>
      </c>
      <c r="L10" s="30">
        <v>64</v>
      </c>
      <c r="M10" s="31">
        <v>61.983870967741936</v>
      </c>
    </row>
    <row r="11" spans="1:13" ht="12.75" customHeight="1" x14ac:dyDescent="0.3">
      <c r="A11" s="26">
        <v>10</v>
      </c>
      <c r="B11" s="30">
        <v>41</v>
      </c>
      <c r="C11" s="30">
        <v>65</v>
      </c>
      <c r="D11" s="30">
        <v>69</v>
      </c>
      <c r="E11" s="31">
        <v>66.780487804878049</v>
      </c>
      <c r="F11" s="30">
        <v>22</v>
      </c>
      <c r="G11" s="30">
        <v>65</v>
      </c>
      <c r="H11" s="30">
        <v>69</v>
      </c>
      <c r="I11" s="31">
        <v>67.090909090909093</v>
      </c>
      <c r="J11" s="30">
        <v>63</v>
      </c>
      <c r="K11" s="30">
        <v>65</v>
      </c>
      <c r="L11" s="30">
        <v>69</v>
      </c>
      <c r="M11" s="31">
        <v>66.888888888888886</v>
      </c>
    </row>
    <row r="12" spans="1:13" ht="12.75" customHeight="1" x14ac:dyDescent="0.3">
      <c r="A12" s="26">
        <v>11</v>
      </c>
      <c r="B12" s="30">
        <v>13</v>
      </c>
      <c r="C12" s="30">
        <v>70</v>
      </c>
      <c r="D12" s="30">
        <v>71</v>
      </c>
      <c r="E12" s="31">
        <v>70.07692307692308</v>
      </c>
      <c r="F12" s="30">
        <v>6</v>
      </c>
      <c r="G12" s="30">
        <v>70</v>
      </c>
      <c r="H12" s="30">
        <v>71</v>
      </c>
      <c r="I12" s="31">
        <v>70.166666666666671</v>
      </c>
      <c r="J12" s="30">
        <v>19</v>
      </c>
      <c r="K12" s="30">
        <v>70</v>
      </c>
      <c r="L12" s="30">
        <v>71</v>
      </c>
      <c r="M12" s="31">
        <v>70.10526315789474</v>
      </c>
    </row>
    <row r="13" spans="1:13" ht="12.75" customHeight="1" x14ac:dyDescent="0.3">
      <c r="A13" s="32" t="s">
        <v>467</v>
      </c>
      <c r="B13" s="33">
        <v>179</v>
      </c>
      <c r="C13" s="33">
        <v>40</v>
      </c>
      <c r="D13" s="33">
        <v>71</v>
      </c>
      <c r="E13" s="34">
        <v>58.672222222222224</v>
      </c>
      <c r="F13" s="33">
        <v>104</v>
      </c>
      <c r="G13" s="33">
        <v>42</v>
      </c>
      <c r="H13" s="33">
        <v>71</v>
      </c>
      <c r="I13" s="34">
        <v>57.682692307692307</v>
      </c>
      <c r="J13" s="33">
        <v>283</v>
      </c>
      <c r="K13" s="33">
        <v>40</v>
      </c>
      <c r="L13" s="33">
        <v>71</v>
      </c>
      <c r="M13" s="34">
        <v>58.309859154929576</v>
      </c>
    </row>
    <row r="14" spans="1:13" ht="12.75" customHeight="1" x14ac:dyDescent="0.3"/>
    <row r="15" spans="1:13" ht="12.75" customHeight="1" x14ac:dyDescent="0.3"/>
    <row r="16" spans="1:13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8740157499999996" right="0.78740157499999996" top="0.984251969" bottom="0.984251969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1000"/>
  <sheetViews>
    <sheetView workbookViewId="0">
      <selection activeCell="E3" sqref="E3"/>
    </sheetView>
  </sheetViews>
  <sheetFormatPr baseColWidth="10" defaultColWidth="14.3984375" defaultRowHeight="15" customHeight="1" x14ac:dyDescent="0.3"/>
  <cols>
    <col min="1" max="1" width="12.69921875" bestFit="1" customWidth="1"/>
    <col min="2" max="2" width="13.8984375" bestFit="1" customWidth="1"/>
    <col min="3" max="3" width="8.5" bestFit="1" customWidth="1"/>
    <col min="4" max="4" width="9" bestFit="1" customWidth="1"/>
    <col min="5" max="5" width="9.09765625" bestFit="1" customWidth="1"/>
    <col min="6" max="6" width="9" bestFit="1" customWidth="1"/>
    <col min="7" max="7" width="7.296875" bestFit="1" customWidth="1"/>
    <col min="8" max="8" width="9.09765625" bestFit="1" customWidth="1"/>
    <col min="9" max="9" width="7.296875" bestFit="1" customWidth="1"/>
    <col min="10" max="10" width="18.796875" bestFit="1" customWidth="1"/>
    <col min="11" max="11" width="13.296875" bestFit="1" customWidth="1"/>
    <col min="12" max="12" width="13.796875" bestFit="1" customWidth="1"/>
    <col min="13" max="13" width="13.8984375" bestFit="1" customWidth="1"/>
    <col min="14" max="26" width="10.69921875" customWidth="1"/>
  </cols>
  <sheetData>
    <row r="1" spans="1:8" ht="16.5" customHeight="1" x14ac:dyDescent="0.3">
      <c r="A1" s="17" t="s">
        <v>465</v>
      </c>
      <c r="B1" s="18"/>
      <c r="C1" s="18"/>
      <c r="D1" s="18"/>
      <c r="E1" s="18"/>
      <c r="F1" s="18"/>
      <c r="G1" s="18"/>
      <c r="H1" s="18"/>
    </row>
    <row r="2" spans="1:8" ht="12.75" customHeight="1" x14ac:dyDescent="0.3">
      <c r="A2" s="27" t="s">
        <v>488</v>
      </c>
      <c r="B2" s="26" t="s">
        <v>478</v>
      </c>
      <c r="C2" s="26" t="s">
        <v>480</v>
      </c>
      <c r="D2" s="26" t="s">
        <v>482</v>
      </c>
      <c r="E2" s="26" t="s">
        <v>481</v>
      </c>
    </row>
    <row r="3" spans="1:8" ht="12.75" customHeight="1" x14ac:dyDescent="0.3">
      <c r="A3" s="26" t="s">
        <v>26</v>
      </c>
      <c r="B3" s="30">
        <v>16</v>
      </c>
      <c r="C3" s="30">
        <v>47</v>
      </c>
      <c r="D3" s="30">
        <v>70</v>
      </c>
      <c r="E3" s="31">
        <v>56.0625</v>
      </c>
    </row>
    <row r="4" spans="1:8" ht="12.75" customHeight="1" x14ac:dyDescent="0.3">
      <c r="A4" s="37" t="s">
        <v>16</v>
      </c>
      <c r="B4" s="30">
        <v>10</v>
      </c>
      <c r="C4" s="30">
        <v>50</v>
      </c>
      <c r="D4" s="30">
        <v>70</v>
      </c>
      <c r="E4" s="31">
        <v>57.3</v>
      </c>
    </row>
    <row r="5" spans="1:8" ht="12.75" customHeight="1" x14ac:dyDescent="0.3">
      <c r="A5" s="37" t="s">
        <v>20</v>
      </c>
      <c r="B5" s="30">
        <v>6</v>
      </c>
      <c r="C5" s="30">
        <v>47</v>
      </c>
      <c r="D5" s="30">
        <v>67</v>
      </c>
      <c r="E5" s="31">
        <v>54</v>
      </c>
    </row>
    <row r="6" spans="1:8" ht="12.75" customHeight="1" x14ac:dyDescent="0.3">
      <c r="A6" s="26" t="s">
        <v>29</v>
      </c>
      <c r="B6" s="30">
        <v>142</v>
      </c>
      <c r="C6" s="30">
        <v>40</v>
      </c>
      <c r="D6" s="30">
        <v>70</v>
      </c>
      <c r="E6" s="31">
        <v>58.44055944055944</v>
      </c>
    </row>
    <row r="7" spans="1:8" ht="12.75" customHeight="1" x14ac:dyDescent="0.3">
      <c r="A7" s="37" t="s">
        <v>16</v>
      </c>
      <c r="B7" s="30">
        <v>96</v>
      </c>
      <c r="C7" s="30">
        <v>40</v>
      </c>
      <c r="D7" s="30">
        <v>70</v>
      </c>
      <c r="E7" s="31">
        <v>58.845360824742265</v>
      </c>
    </row>
    <row r="8" spans="1:8" ht="12.75" customHeight="1" x14ac:dyDescent="0.3">
      <c r="A8" s="37" t="s">
        <v>20</v>
      </c>
      <c r="B8" s="30">
        <v>46</v>
      </c>
      <c r="C8" s="30">
        <v>42</v>
      </c>
      <c r="D8" s="30">
        <v>70</v>
      </c>
      <c r="E8" s="31">
        <v>57.586956521739133</v>
      </c>
    </row>
    <row r="9" spans="1:8" ht="12.75" customHeight="1" x14ac:dyDescent="0.3">
      <c r="A9" s="26" t="s">
        <v>15</v>
      </c>
      <c r="B9" s="30">
        <v>102</v>
      </c>
      <c r="C9" s="30">
        <v>43</v>
      </c>
      <c r="D9" s="30">
        <v>71</v>
      </c>
      <c r="E9" s="31">
        <v>58.401960784313722</v>
      </c>
    </row>
    <row r="10" spans="1:8" ht="12.75" customHeight="1" x14ac:dyDescent="0.3">
      <c r="A10" s="37" t="s">
        <v>16</v>
      </c>
      <c r="B10" s="30">
        <v>62</v>
      </c>
      <c r="C10" s="30">
        <v>43</v>
      </c>
      <c r="D10" s="30">
        <v>71</v>
      </c>
      <c r="E10" s="31">
        <v>58.79032258064516</v>
      </c>
    </row>
    <row r="11" spans="1:8" ht="12.75" customHeight="1" x14ac:dyDescent="0.3">
      <c r="A11" s="37" t="s">
        <v>20</v>
      </c>
      <c r="B11" s="30">
        <v>40</v>
      </c>
      <c r="C11" s="30">
        <v>43</v>
      </c>
      <c r="D11" s="30">
        <v>70</v>
      </c>
      <c r="E11" s="31">
        <v>57.8</v>
      </c>
    </row>
    <row r="12" spans="1:8" ht="12.75" customHeight="1" x14ac:dyDescent="0.3">
      <c r="A12" s="26" t="s">
        <v>38</v>
      </c>
      <c r="B12" s="30">
        <v>23</v>
      </c>
      <c r="C12" s="30">
        <v>43</v>
      </c>
      <c r="D12" s="30">
        <v>71</v>
      </c>
      <c r="E12" s="31">
        <v>58.652173913043477</v>
      </c>
    </row>
    <row r="13" spans="1:8" ht="12.75" customHeight="1" x14ac:dyDescent="0.3">
      <c r="A13" s="37" t="s">
        <v>16</v>
      </c>
      <c r="B13" s="30">
        <v>11</v>
      </c>
      <c r="C13" s="30">
        <v>43</v>
      </c>
      <c r="D13" s="30">
        <v>66</v>
      </c>
      <c r="E13" s="31">
        <v>57.727272727272727</v>
      </c>
    </row>
    <row r="14" spans="1:8" ht="12.75" customHeight="1" x14ac:dyDescent="0.3">
      <c r="A14" s="37" t="s">
        <v>20</v>
      </c>
      <c r="B14" s="30">
        <v>12</v>
      </c>
      <c r="C14" s="30">
        <v>43</v>
      </c>
      <c r="D14" s="30">
        <v>71</v>
      </c>
      <c r="E14" s="31">
        <v>59.5</v>
      </c>
    </row>
    <row r="15" spans="1:8" ht="12.75" customHeight="1" x14ac:dyDescent="0.3">
      <c r="A15" s="26" t="s">
        <v>467</v>
      </c>
      <c r="B15" s="30">
        <v>283</v>
      </c>
      <c r="C15" s="30">
        <v>40</v>
      </c>
      <c r="D15" s="30">
        <v>71</v>
      </c>
      <c r="E15" s="31">
        <v>58.309859154929576</v>
      </c>
    </row>
    <row r="16" spans="1:8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8740157499999996" right="0.78740157499999996" top="0.984251969" bottom="0.98425196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enoncé</vt:lpstr>
      <vt:lpstr>Liste</vt:lpstr>
      <vt:lpstr>exo1</vt:lpstr>
      <vt:lpstr>exo2</vt:lpstr>
      <vt:lpstr>exo3</vt:lpstr>
      <vt:lpstr>exo4</vt:lpstr>
      <vt:lpstr>exo5</vt:lpstr>
      <vt:lpstr>exo6</vt:lpstr>
      <vt:lpstr>exo7</vt:lpstr>
      <vt:lpstr>exo8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DAP</cp:lastModifiedBy>
  <dcterms:created xsi:type="dcterms:W3CDTF">2023-11-20T18:31:58Z</dcterms:created>
  <dcterms:modified xsi:type="dcterms:W3CDTF">2026-03-11T18:17:19Z</dcterms:modified>
</cp:coreProperties>
</file>